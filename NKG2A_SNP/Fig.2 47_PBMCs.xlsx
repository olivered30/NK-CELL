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-my.sharepoint.com/personal/linz3_nih_gov/Documents/HLA-E/Data Summary/2026-01-05 NKG2A SNP/CVS files/"/>
    </mc:Choice>
  </mc:AlternateContent>
  <xr:revisionPtr revIDLastSave="70" documentId="8_{886A9B58-9A1D-CD4D-8EB2-EF9F019645C8}" xr6:coauthVersionLast="47" xr6:coauthVersionMax="47" xr10:uidLastSave="{8AB883AC-CA63-F44D-805C-D88F461E5673}"/>
  <bookViews>
    <workbookView xWindow="1180" yWindow="600" windowWidth="20640" windowHeight="19220" xr2:uid="{5A9FC91D-7505-9442-B3F3-40C515F796B2}"/>
  </bookViews>
  <sheets>
    <sheet name="2024-10-04 PBMCs 48" sheetId="1" r:id="rId1"/>
    <sheet name="Sheet1" sheetId="2" r:id="rId2"/>
  </sheets>
  <externalReferences>
    <externalReference r:id="rId3"/>
  </externalReferences>
  <definedNames>
    <definedName name="_xlnm._FilterDatabase" localSheetId="0" hidden="1">'2024-10-04 PBMCs 48'!$A$1:$N$48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2" i="1"/>
</calcChain>
</file>

<file path=xl/sharedStrings.xml><?xml version="1.0" encoding="utf-8"?>
<sst xmlns="http://schemas.openxmlformats.org/spreadsheetml/2006/main" count="387" uniqueCount="77">
  <si>
    <t>HD</t>
  </si>
  <si>
    <t>ASP1</t>
  </si>
  <si>
    <t>ASP2</t>
  </si>
  <si>
    <t>BSP1</t>
  </si>
  <si>
    <t>BSP2</t>
  </si>
  <si>
    <t>CSP1</t>
  </si>
  <si>
    <t>CSP2</t>
  </si>
  <si>
    <t>HD314</t>
  </si>
  <si>
    <t>1A</t>
  </si>
  <si>
    <t>2A</t>
  </si>
  <si>
    <t>6B</t>
  </si>
  <si>
    <t>3B</t>
  </si>
  <si>
    <t>1C</t>
  </si>
  <si>
    <t>4C</t>
  </si>
  <si>
    <t>HD320</t>
  </si>
  <si>
    <t>1B</t>
  </si>
  <si>
    <t>3C</t>
  </si>
  <si>
    <t>HD323</t>
  </si>
  <si>
    <t>3A</t>
  </si>
  <si>
    <t>5B</t>
  </si>
  <si>
    <t>HD326</t>
  </si>
  <si>
    <t>2B</t>
  </si>
  <si>
    <t>HD293</t>
  </si>
  <si>
    <t>HD299</t>
  </si>
  <si>
    <t>4B</t>
  </si>
  <si>
    <t>HD192</t>
  </si>
  <si>
    <t>2C</t>
  </si>
  <si>
    <t>HD265</t>
  </si>
  <si>
    <t>HD267</t>
  </si>
  <si>
    <t>HD172</t>
  </si>
  <si>
    <t>HD213</t>
  </si>
  <si>
    <t>HD285</t>
  </si>
  <si>
    <t>HD287</t>
  </si>
  <si>
    <t>HD250</t>
  </si>
  <si>
    <t>HD282</t>
  </si>
  <si>
    <t>HD149</t>
  </si>
  <si>
    <t>HD154</t>
  </si>
  <si>
    <t>HD155</t>
  </si>
  <si>
    <t>HD173</t>
  </si>
  <si>
    <t>HD158</t>
  </si>
  <si>
    <t>HD159</t>
  </si>
  <si>
    <t>HD163</t>
  </si>
  <si>
    <t>HD165</t>
  </si>
  <si>
    <t>HD166</t>
  </si>
  <si>
    <t>HD274</t>
  </si>
  <si>
    <t>HD258</t>
  </si>
  <si>
    <t>HD179</t>
  </si>
  <si>
    <t>HD181</t>
  </si>
  <si>
    <t>HD184</t>
  </si>
  <si>
    <t>HD082</t>
  </si>
  <si>
    <t>HD089</t>
  </si>
  <si>
    <t>HD090</t>
  </si>
  <si>
    <t>HD138</t>
  </si>
  <si>
    <t>HD106</t>
  </si>
  <si>
    <t>HD143</t>
  </si>
  <si>
    <t>HD145</t>
  </si>
  <si>
    <t>66K00840</t>
  </si>
  <si>
    <t>HD226</t>
  </si>
  <si>
    <t>HD150</t>
  </si>
  <si>
    <t>HD153</t>
  </si>
  <si>
    <t>HD125</t>
  </si>
  <si>
    <t>HD126</t>
  </si>
  <si>
    <t>HD127</t>
  </si>
  <si>
    <t>HD137</t>
  </si>
  <si>
    <t>NCIF-100</t>
  </si>
  <si>
    <t>HD140</t>
  </si>
  <si>
    <t>HD146</t>
  </si>
  <si>
    <t>SP score</t>
  </si>
  <si>
    <t>NKG2A_MFI_Bright</t>
  </si>
  <si>
    <t>CD107a_Bright_10:1</t>
  </si>
  <si>
    <t>CD107a_Bright_30:1</t>
  </si>
  <si>
    <t>CD107a_Bright_3:1</t>
  </si>
  <si>
    <t>NKG2A SNP</t>
  </si>
  <si>
    <t>N of 6B</t>
  </si>
  <si>
    <t>TT</t>
  </si>
  <si>
    <t>CC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</si>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</sst>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inal%20Results-NKG2A%20.xlsx" TargetMode="External"/><Relationship Id="rId2" Type="http://schemas.openxmlformats.org/officeDocument/2006/relationships/externalLinkPath" Target="https://nih-my.sharepoint.com/personal/linz3_nih_gov/Documents/HLA-E/Data%20Summary/2026-01-05%20NKG2A%20SNP/Final%20Results-NKG2A%20.xlsx" TargetMode="External"/><Relationship Id="rId1" Type="http://schemas.openxmlformats.org/officeDocument/2006/relationships/externalLinkPath" Target="/personal/linz3_nih_gov/Documents/HLA-E/Data%20Summary/2026-01-05%20NKG2A%20SNP/Final%20Results-NKG2A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donor summary"/>
      <sheetName val="240 donors"/>
      <sheetName val="Sheet2"/>
    </sheetNames>
    <sheetDataSet>
      <sheetData sheetId="0">
        <row r="2">
          <cell r="C2" t="str">
            <v>HD055</v>
          </cell>
          <cell r="D2" t="str">
            <v>TT</v>
          </cell>
        </row>
        <row r="3">
          <cell r="C3" t="str">
            <v>HD056</v>
          </cell>
          <cell r="D3" t="str">
            <v>TC</v>
          </cell>
        </row>
        <row r="4">
          <cell r="C4" t="str">
            <v>HD057</v>
          </cell>
          <cell r="D4" t="str">
            <v>TC</v>
          </cell>
        </row>
        <row r="5">
          <cell r="C5" t="str">
            <v>HD058</v>
          </cell>
          <cell r="D5" t="str">
            <v>TC</v>
          </cell>
        </row>
        <row r="6">
          <cell r="C6" t="str">
            <v>HD059</v>
          </cell>
          <cell r="D6" t="str">
            <v>TT</v>
          </cell>
        </row>
        <row r="7">
          <cell r="C7" t="str">
            <v>HD060</v>
          </cell>
          <cell r="D7" t="str">
            <v>TC</v>
          </cell>
        </row>
        <row r="8">
          <cell r="C8" t="str">
            <v>HD061</v>
          </cell>
          <cell r="D8" t="str">
            <v>CC</v>
          </cell>
        </row>
        <row r="9">
          <cell r="C9" t="str">
            <v>HD062</v>
          </cell>
          <cell r="D9" t="str">
            <v>TC</v>
          </cell>
        </row>
        <row r="10">
          <cell r="C10" t="str">
            <v>HD063</v>
          </cell>
          <cell r="D10" t="str">
            <v>CC</v>
          </cell>
        </row>
        <row r="11">
          <cell r="C11" t="str">
            <v>HD064</v>
          </cell>
          <cell r="D11" t="str">
            <v>CC</v>
          </cell>
        </row>
        <row r="12">
          <cell r="C12" t="str">
            <v>HD065</v>
          </cell>
          <cell r="D12" t="str">
            <v>TC</v>
          </cell>
        </row>
        <row r="13">
          <cell r="C13" t="str">
            <v>HD066</v>
          </cell>
          <cell r="D13" t="str">
            <v>TT</v>
          </cell>
        </row>
        <row r="14">
          <cell r="C14" t="str">
            <v>HD067</v>
          </cell>
          <cell r="D14" t="str">
            <v>CC</v>
          </cell>
        </row>
        <row r="15">
          <cell r="C15" t="str">
            <v>HD068</v>
          </cell>
          <cell r="D15" t="str">
            <v>TT</v>
          </cell>
        </row>
        <row r="16">
          <cell r="C16" t="str">
            <v>HD069</v>
          </cell>
          <cell r="D16" t="str">
            <v>TC</v>
          </cell>
        </row>
        <row r="17">
          <cell r="C17" t="str">
            <v>HD070</v>
          </cell>
          <cell r="D17" t="str">
            <v>CC</v>
          </cell>
        </row>
        <row r="18">
          <cell r="C18" t="str">
            <v>HD071</v>
          </cell>
          <cell r="D18" t="str">
            <v>CC</v>
          </cell>
        </row>
        <row r="19">
          <cell r="C19" t="str">
            <v>HD072</v>
          </cell>
          <cell r="D19" t="str">
            <v>TC</v>
          </cell>
        </row>
        <row r="20">
          <cell r="C20" t="str">
            <v>HD073</v>
          </cell>
          <cell r="D20" t="str">
            <v>TC</v>
          </cell>
        </row>
        <row r="21">
          <cell r="C21" t="str">
            <v>HD074</v>
          </cell>
          <cell r="D21" t="str">
            <v>CC</v>
          </cell>
        </row>
        <row r="22">
          <cell r="C22" t="str">
            <v>HD075</v>
          </cell>
          <cell r="D22" t="str">
            <v>TT</v>
          </cell>
        </row>
        <row r="23">
          <cell r="C23" t="str">
            <v>HD076</v>
          </cell>
          <cell r="D23" t="str">
            <v>TC</v>
          </cell>
        </row>
        <row r="24">
          <cell r="C24" t="str">
            <v>HD077</v>
          </cell>
          <cell r="D24" t="str">
            <v>CC</v>
          </cell>
        </row>
        <row r="25">
          <cell r="C25" t="str">
            <v>HD078</v>
          </cell>
          <cell r="D25" t="str">
            <v>TT</v>
          </cell>
        </row>
        <row r="26">
          <cell r="C26" t="str">
            <v>HD079</v>
          </cell>
          <cell r="D26" t="str">
            <v>TC</v>
          </cell>
        </row>
        <row r="27">
          <cell r="C27" t="str">
            <v>HD080</v>
          </cell>
          <cell r="D27" t="str">
            <v>TT</v>
          </cell>
        </row>
        <row r="28">
          <cell r="C28" t="str">
            <v>HD081</v>
          </cell>
          <cell r="D28" t="str">
            <v>TC</v>
          </cell>
        </row>
        <row r="29">
          <cell r="C29" t="str">
            <v>HD082</v>
          </cell>
          <cell r="D29" t="str">
            <v>CC</v>
          </cell>
        </row>
        <row r="30">
          <cell r="C30" t="str">
            <v>HD083</v>
          </cell>
          <cell r="D30" t="str">
            <v>TC</v>
          </cell>
        </row>
        <row r="31">
          <cell r="C31" t="str">
            <v>HD084</v>
          </cell>
          <cell r="D31" t="str">
            <v>TC</v>
          </cell>
        </row>
        <row r="32">
          <cell r="C32" t="str">
            <v>HD085</v>
          </cell>
          <cell r="D32" t="str">
            <v>TT</v>
          </cell>
        </row>
        <row r="33">
          <cell r="C33" t="str">
            <v>HD086</v>
          </cell>
          <cell r="D33" t="str">
            <v>CC</v>
          </cell>
        </row>
        <row r="34">
          <cell r="C34" t="str">
            <v>HD087</v>
          </cell>
          <cell r="D34" t="str">
            <v>TC</v>
          </cell>
        </row>
        <row r="35">
          <cell r="C35" t="str">
            <v>HD088</v>
          </cell>
          <cell r="D35" t="str">
            <v>TC</v>
          </cell>
        </row>
        <row r="36">
          <cell r="C36" t="str">
            <v>HD089</v>
          </cell>
          <cell r="D36" t="str">
            <v>CC</v>
          </cell>
        </row>
        <row r="37">
          <cell r="C37" t="str">
            <v>HD090</v>
          </cell>
          <cell r="D37" t="str">
            <v>TT</v>
          </cell>
        </row>
        <row r="38">
          <cell r="C38" t="str">
            <v>HD091</v>
          </cell>
          <cell r="D38" t="str">
            <v>CC</v>
          </cell>
        </row>
        <row r="39">
          <cell r="C39" t="str">
            <v>HD092</v>
          </cell>
          <cell r="D39" t="str">
            <v>TT</v>
          </cell>
        </row>
        <row r="40">
          <cell r="C40" t="str">
            <v>HD093</v>
          </cell>
          <cell r="D40" t="str">
            <v>TT</v>
          </cell>
        </row>
        <row r="41">
          <cell r="C41" t="str">
            <v>HD094</v>
          </cell>
          <cell r="D41" t="str">
            <v>TT</v>
          </cell>
        </row>
        <row r="42">
          <cell r="C42" t="str">
            <v>HD096</v>
          </cell>
          <cell r="D42" t="str">
            <v>TT</v>
          </cell>
        </row>
        <row r="43">
          <cell r="C43" t="str">
            <v>HD097</v>
          </cell>
          <cell r="D43" t="str">
            <v>TC</v>
          </cell>
        </row>
        <row r="44">
          <cell r="C44" t="str">
            <v>HD098</v>
          </cell>
          <cell r="D44" t="str">
            <v>TT</v>
          </cell>
        </row>
        <row r="45">
          <cell r="C45" t="str">
            <v>HD099</v>
          </cell>
          <cell r="D45" t="str">
            <v>TC</v>
          </cell>
        </row>
        <row r="46">
          <cell r="C46" t="str">
            <v>HD100</v>
          </cell>
          <cell r="D46" t="str">
            <v>TT</v>
          </cell>
        </row>
        <row r="47">
          <cell r="C47" t="str">
            <v>HD101</v>
          </cell>
          <cell r="D47" t="str">
            <v>TC</v>
          </cell>
        </row>
        <row r="48">
          <cell r="C48" t="str">
            <v>HD102</v>
          </cell>
          <cell r="D48" t="str">
            <v>TT</v>
          </cell>
        </row>
        <row r="49">
          <cell r="C49" t="str">
            <v>HD103</v>
          </cell>
          <cell r="D49" t="str">
            <v>TT</v>
          </cell>
        </row>
        <row r="50">
          <cell r="C50" t="str">
            <v>HD104</v>
          </cell>
          <cell r="D50" t="str">
            <v>TT</v>
          </cell>
        </row>
        <row r="51">
          <cell r="C51" t="str">
            <v>HD105</v>
          </cell>
          <cell r="D51" t="str">
            <v>TT</v>
          </cell>
        </row>
        <row r="52">
          <cell r="C52" t="str">
            <v>HD117</v>
          </cell>
          <cell r="D52" t="str">
            <v>TC</v>
          </cell>
        </row>
        <row r="53">
          <cell r="C53" t="str">
            <v>HD118</v>
          </cell>
          <cell r="D53" t="str">
            <v>CC</v>
          </cell>
        </row>
        <row r="54">
          <cell r="C54" t="str">
            <v>HD121</v>
          </cell>
          <cell r="D54" t="str">
            <v>TC</v>
          </cell>
        </row>
        <row r="55">
          <cell r="C55" t="str">
            <v>HD126</v>
          </cell>
          <cell r="D55" t="str">
            <v>TT</v>
          </cell>
        </row>
        <row r="56">
          <cell r="C56" t="str">
            <v>HD127</v>
          </cell>
          <cell r="D56" t="str">
            <v>TT</v>
          </cell>
        </row>
        <row r="57">
          <cell r="C57" t="str">
            <v>HD128</v>
          </cell>
          <cell r="D57" t="str">
            <v>TT</v>
          </cell>
        </row>
        <row r="58">
          <cell r="C58" t="str">
            <v>HD129</v>
          </cell>
          <cell r="D58" t="str">
            <v>TC</v>
          </cell>
        </row>
        <row r="59">
          <cell r="C59" t="str">
            <v>HD130</v>
          </cell>
          <cell r="D59" t="str">
            <v>TC</v>
          </cell>
        </row>
        <row r="60">
          <cell r="C60" t="str">
            <v>HD131</v>
          </cell>
          <cell r="D60" t="str">
            <v>TT</v>
          </cell>
        </row>
        <row r="61">
          <cell r="C61" t="str">
            <v>HD132</v>
          </cell>
          <cell r="D61" t="str">
            <v>TC</v>
          </cell>
        </row>
        <row r="62">
          <cell r="C62" t="str">
            <v>HD133</v>
          </cell>
          <cell r="D62" t="str">
            <v>TT</v>
          </cell>
        </row>
        <row r="63">
          <cell r="C63" t="str">
            <v>HD134</v>
          </cell>
          <cell r="D63" t="str">
            <v>TC</v>
          </cell>
        </row>
        <row r="64">
          <cell r="C64" t="str">
            <v>HD135</v>
          </cell>
          <cell r="D64" t="str">
            <v>TT</v>
          </cell>
        </row>
        <row r="65">
          <cell r="C65" t="str">
            <v>HD136</v>
          </cell>
          <cell r="D65" t="str">
            <v>TT</v>
          </cell>
        </row>
        <row r="66">
          <cell r="C66" t="str">
            <v>HD137</v>
          </cell>
          <cell r="D66" t="str">
            <v>TT</v>
          </cell>
        </row>
        <row r="67">
          <cell r="C67" t="str">
            <v>HD138</v>
          </cell>
          <cell r="D67" t="str">
            <v>TT</v>
          </cell>
        </row>
        <row r="68">
          <cell r="C68" t="str">
            <v>HD139</v>
          </cell>
          <cell r="D68" t="str">
            <v>TT</v>
          </cell>
        </row>
        <row r="69">
          <cell r="C69" t="str">
            <v>HD140</v>
          </cell>
          <cell r="D69" t="str">
            <v>CC</v>
          </cell>
        </row>
        <row r="70">
          <cell r="C70" t="str">
            <v>HD141</v>
          </cell>
          <cell r="D70" t="str">
            <v>CC</v>
          </cell>
        </row>
        <row r="71">
          <cell r="C71" t="str">
            <v>HD142</v>
          </cell>
          <cell r="D71" t="str">
            <v>CC</v>
          </cell>
        </row>
        <row r="72">
          <cell r="C72" t="str">
            <v>HD143</v>
          </cell>
          <cell r="D72" t="str">
            <v>TC</v>
          </cell>
        </row>
        <row r="73">
          <cell r="C73" t="str">
            <v>HD144</v>
          </cell>
          <cell r="D73" t="str">
            <v>TT</v>
          </cell>
        </row>
        <row r="74">
          <cell r="C74" t="str">
            <v>HD145</v>
          </cell>
          <cell r="D74" t="str">
            <v>CC</v>
          </cell>
        </row>
        <row r="75">
          <cell r="C75" t="str">
            <v>HD146</v>
          </cell>
          <cell r="D75" t="str">
            <v>TC</v>
          </cell>
        </row>
        <row r="76">
          <cell r="C76" t="str">
            <v>HD147</v>
          </cell>
          <cell r="D76" t="str">
            <v>TT</v>
          </cell>
        </row>
        <row r="77">
          <cell r="C77" t="str">
            <v>HD148</v>
          </cell>
          <cell r="D77" t="str">
            <v>TT</v>
          </cell>
        </row>
        <row r="78">
          <cell r="C78" t="str">
            <v>HD149</v>
          </cell>
          <cell r="D78" t="str">
            <v>TT</v>
          </cell>
        </row>
        <row r="79">
          <cell r="C79" t="str">
            <v>HD150</v>
          </cell>
          <cell r="D79" t="str">
            <v>TT</v>
          </cell>
        </row>
        <row r="80">
          <cell r="C80" t="str">
            <v>HD151</v>
          </cell>
          <cell r="D80" t="str">
            <v>TT</v>
          </cell>
        </row>
        <row r="81">
          <cell r="C81" t="str">
            <v>HD152</v>
          </cell>
          <cell r="D81" t="str">
            <v>TT</v>
          </cell>
        </row>
        <row r="82">
          <cell r="C82" t="str">
            <v>HD153</v>
          </cell>
          <cell r="D82" t="str">
            <v>TC</v>
          </cell>
        </row>
        <row r="83">
          <cell r="C83" t="str">
            <v>HD154</v>
          </cell>
          <cell r="D83" t="str">
            <v>TT</v>
          </cell>
        </row>
        <row r="84">
          <cell r="C84" t="str">
            <v>HD155</v>
          </cell>
          <cell r="D84" t="str">
            <v>TT</v>
          </cell>
        </row>
        <row r="85">
          <cell r="C85" t="str">
            <v>HD156</v>
          </cell>
          <cell r="D85" t="str">
            <v>TC</v>
          </cell>
        </row>
        <row r="86">
          <cell r="C86" t="str">
            <v>HD157</v>
          </cell>
          <cell r="D86" t="str">
            <v>CC</v>
          </cell>
        </row>
        <row r="87">
          <cell r="C87" t="str">
            <v>HD158</v>
          </cell>
          <cell r="D87" t="str">
            <v>TT</v>
          </cell>
        </row>
        <row r="88">
          <cell r="C88" t="str">
            <v>HD159</v>
          </cell>
          <cell r="D88" t="str">
            <v>TT</v>
          </cell>
        </row>
        <row r="89">
          <cell r="C89" t="str">
            <v>HD160</v>
          </cell>
          <cell r="D89" t="str">
            <v>CC</v>
          </cell>
        </row>
        <row r="90">
          <cell r="C90" t="str">
            <v>HD161</v>
          </cell>
          <cell r="D90" t="str">
            <v>TC</v>
          </cell>
        </row>
        <row r="91">
          <cell r="C91" t="str">
            <v>HD162</v>
          </cell>
          <cell r="D91" t="str">
            <v>CC</v>
          </cell>
        </row>
        <row r="92">
          <cell r="C92" t="str">
            <v>HD163</v>
          </cell>
          <cell r="D92" t="str">
            <v>TT</v>
          </cell>
        </row>
        <row r="93">
          <cell r="C93" t="str">
            <v>HD164</v>
          </cell>
          <cell r="D93" t="str">
            <v>TT</v>
          </cell>
        </row>
        <row r="94">
          <cell r="C94" t="str">
            <v>HD165</v>
          </cell>
          <cell r="D94" t="str">
            <v>TT</v>
          </cell>
        </row>
        <row r="95">
          <cell r="C95" t="str">
            <v>HD166</v>
          </cell>
          <cell r="D95" t="str">
            <v>TT</v>
          </cell>
        </row>
        <row r="96">
          <cell r="C96" t="str">
            <v>HD167</v>
          </cell>
          <cell r="D96" t="str">
            <v>CC</v>
          </cell>
        </row>
        <row r="97">
          <cell r="C97" t="str">
            <v>HD168</v>
          </cell>
          <cell r="D97" t="str">
            <v>TC</v>
          </cell>
        </row>
        <row r="98">
          <cell r="C98" t="str">
            <v>HD169</v>
          </cell>
          <cell r="D98" t="str">
            <v>TT</v>
          </cell>
        </row>
        <row r="99">
          <cell r="C99" t="str">
            <v>HD170</v>
          </cell>
          <cell r="D99" t="str">
            <v>TC</v>
          </cell>
        </row>
        <row r="100">
          <cell r="C100" t="str">
            <v>HD171</v>
          </cell>
          <cell r="D100" t="str">
            <v>TC</v>
          </cell>
        </row>
        <row r="101">
          <cell r="C101" t="str">
            <v>HD172</v>
          </cell>
          <cell r="D101" t="str">
            <v>TT</v>
          </cell>
        </row>
        <row r="102">
          <cell r="C102" t="str">
            <v>HD173</v>
          </cell>
          <cell r="D102" t="str">
            <v>CC</v>
          </cell>
        </row>
        <row r="103">
          <cell r="C103" t="str">
            <v>HD174</v>
          </cell>
          <cell r="D103" t="str">
            <v>TC</v>
          </cell>
        </row>
        <row r="104">
          <cell r="C104" t="str">
            <v>HD175</v>
          </cell>
          <cell r="D104" t="str">
            <v>TT</v>
          </cell>
        </row>
        <row r="105">
          <cell r="C105" t="str">
            <v>HD176</v>
          </cell>
          <cell r="D105" t="str">
            <v>TT</v>
          </cell>
        </row>
        <row r="106">
          <cell r="C106" t="str">
            <v>HD177</v>
          </cell>
          <cell r="D106" t="str">
            <v>TT</v>
          </cell>
        </row>
        <row r="107">
          <cell r="C107" t="str">
            <v>HD178</v>
          </cell>
          <cell r="D107" t="str">
            <v>TT</v>
          </cell>
        </row>
        <row r="108">
          <cell r="C108" t="str">
            <v>HD179</v>
          </cell>
          <cell r="D108" t="str">
            <v>TT</v>
          </cell>
        </row>
        <row r="109">
          <cell r="C109" t="str">
            <v>HD180</v>
          </cell>
          <cell r="D109" t="str">
            <v>CC</v>
          </cell>
        </row>
        <row r="110">
          <cell r="C110" t="str">
            <v>HD181</v>
          </cell>
          <cell r="D110" t="str">
            <v>TT</v>
          </cell>
        </row>
        <row r="111">
          <cell r="C111" t="str">
            <v>HD182</v>
          </cell>
          <cell r="D111" t="str">
            <v>TT</v>
          </cell>
        </row>
        <row r="112">
          <cell r="C112" t="str">
            <v>HD183</v>
          </cell>
          <cell r="D112" t="str">
            <v>TC</v>
          </cell>
        </row>
        <row r="113">
          <cell r="C113" t="str">
            <v>HD184</v>
          </cell>
          <cell r="D113" t="str">
            <v>TC</v>
          </cell>
        </row>
        <row r="114">
          <cell r="C114" t="str">
            <v>HD185</v>
          </cell>
          <cell r="D114" t="str">
            <v>TT</v>
          </cell>
        </row>
        <row r="115">
          <cell r="C115" t="str">
            <v>HD186</v>
          </cell>
          <cell r="D115" t="str">
            <v>TC</v>
          </cell>
        </row>
        <row r="116">
          <cell r="C116" t="str">
            <v>HD187</v>
          </cell>
          <cell r="D116" t="str">
            <v>CC</v>
          </cell>
        </row>
        <row r="117">
          <cell r="C117" t="str">
            <v>HD188</v>
          </cell>
          <cell r="D117" t="str">
            <v>CC</v>
          </cell>
        </row>
        <row r="118">
          <cell r="C118" t="str">
            <v>HD189</v>
          </cell>
          <cell r="D118" t="str">
            <v>TT</v>
          </cell>
        </row>
        <row r="119">
          <cell r="C119" t="str">
            <v>HD190</v>
          </cell>
          <cell r="D119" t="str">
            <v>TC</v>
          </cell>
        </row>
        <row r="120">
          <cell r="C120" t="str">
            <v>HD191</v>
          </cell>
          <cell r="D120" t="str">
            <v>TT</v>
          </cell>
        </row>
        <row r="121">
          <cell r="C121" t="str">
            <v>HD192</v>
          </cell>
          <cell r="D121" t="str">
            <v>TT</v>
          </cell>
        </row>
        <row r="122">
          <cell r="C122" t="str">
            <v>HD193</v>
          </cell>
          <cell r="D122" t="str">
            <v>TT</v>
          </cell>
        </row>
        <row r="123">
          <cell r="C123" t="str">
            <v>HD194</v>
          </cell>
          <cell r="D123" t="str">
            <v>TT</v>
          </cell>
        </row>
        <row r="124">
          <cell r="C124" t="str">
            <v>HD195</v>
          </cell>
          <cell r="D124" t="str">
            <v>TC</v>
          </cell>
        </row>
        <row r="125">
          <cell r="C125" t="str">
            <v>HD196</v>
          </cell>
          <cell r="D125" t="str">
            <v>TT</v>
          </cell>
        </row>
        <row r="126">
          <cell r="C126" t="str">
            <v>HD197</v>
          </cell>
          <cell r="D126" t="str">
            <v>TC</v>
          </cell>
        </row>
        <row r="127">
          <cell r="C127" t="str">
            <v>HD198</v>
          </cell>
          <cell r="D127" t="str">
            <v>TT</v>
          </cell>
        </row>
        <row r="128">
          <cell r="C128" t="str">
            <v>HD199</v>
          </cell>
          <cell r="D128" t="str">
            <v>TT</v>
          </cell>
        </row>
        <row r="129">
          <cell r="C129" t="str">
            <v>HD200</v>
          </cell>
          <cell r="D129" t="str">
            <v>CC</v>
          </cell>
        </row>
        <row r="130">
          <cell r="C130" t="str">
            <v>HD201</v>
          </cell>
          <cell r="D130" t="str">
            <v>TT</v>
          </cell>
        </row>
        <row r="131">
          <cell r="C131" t="str">
            <v>HD202</v>
          </cell>
          <cell r="D131" t="str">
            <v>TC</v>
          </cell>
        </row>
        <row r="132">
          <cell r="C132" t="str">
            <v>HD203</v>
          </cell>
          <cell r="D132" t="str">
            <v>TT</v>
          </cell>
        </row>
        <row r="133">
          <cell r="C133" t="str">
            <v>HD204</v>
          </cell>
          <cell r="D133" t="str">
            <v>TT</v>
          </cell>
        </row>
        <row r="134">
          <cell r="C134" t="str">
            <v>HD205</v>
          </cell>
          <cell r="D134" t="str">
            <v>CC</v>
          </cell>
        </row>
        <row r="135">
          <cell r="C135" t="str">
            <v>HD206</v>
          </cell>
          <cell r="D135" t="str">
            <v>TC</v>
          </cell>
        </row>
        <row r="136">
          <cell r="C136" t="str">
            <v>HD207</v>
          </cell>
          <cell r="D136" t="str">
            <v>TC</v>
          </cell>
        </row>
        <row r="137">
          <cell r="C137" t="str">
            <v>HD208</v>
          </cell>
          <cell r="D137" t="str">
            <v>TC</v>
          </cell>
        </row>
        <row r="138">
          <cell r="C138" t="str">
            <v>HD209</v>
          </cell>
          <cell r="D138" t="str">
            <v>TT</v>
          </cell>
        </row>
        <row r="139">
          <cell r="C139" t="str">
            <v>HD210</v>
          </cell>
          <cell r="D139" t="str">
            <v>TT</v>
          </cell>
        </row>
        <row r="140">
          <cell r="C140" t="str">
            <v>HD211</v>
          </cell>
          <cell r="D140" t="str">
            <v>TC</v>
          </cell>
        </row>
        <row r="141">
          <cell r="C141" t="str">
            <v>HD212</v>
          </cell>
          <cell r="D141" t="str">
            <v>TC</v>
          </cell>
        </row>
        <row r="142">
          <cell r="C142" t="str">
            <v>HD213</v>
          </cell>
          <cell r="D142" t="str">
            <v>TT</v>
          </cell>
        </row>
        <row r="143">
          <cell r="C143" t="str">
            <v>HD214</v>
          </cell>
          <cell r="D143" t="str">
            <v>TT</v>
          </cell>
        </row>
        <row r="144">
          <cell r="C144" t="str">
            <v>HD215</v>
          </cell>
          <cell r="D144" t="str">
            <v>TT</v>
          </cell>
        </row>
        <row r="145">
          <cell r="C145" t="str">
            <v>HD216</v>
          </cell>
          <cell r="D145" t="str">
            <v>CC</v>
          </cell>
        </row>
        <row r="146">
          <cell r="C146" t="str">
            <v>HD217</v>
          </cell>
          <cell r="D146" t="str">
            <v>TT</v>
          </cell>
        </row>
        <row r="147">
          <cell r="C147" t="str">
            <v>HD218</v>
          </cell>
          <cell r="D147" t="str">
            <v>CC</v>
          </cell>
        </row>
        <row r="148">
          <cell r="C148" t="str">
            <v>HD219</v>
          </cell>
          <cell r="D148" t="str">
            <v>TC</v>
          </cell>
        </row>
        <row r="149">
          <cell r="C149" t="str">
            <v>HD220</v>
          </cell>
          <cell r="D149" t="str">
            <v>CC</v>
          </cell>
        </row>
        <row r="150">
          <cell r="C150" t="str">
            <v>HD221</v>
          </cell>
          <cell r="D150" t="str">
            <v>TT</v>
          </cell>
        </row>
        <row r="151">
          <cell r="C151" t="str">
            <v>HD222</v>
          </cell>
          <cell r="D151" t="str">
            <v>TT</v>
          </cell>
        </row>
        <row r="152">
          <cell r="C152" t="str">
            <v>HD223</v>
          </cell>
          <cell r="D152" t="str">
            <v>TT</v>
          </cell>
        </row>
        <row r="153">
          <cell r="C153" t="str">
            <v>HD225</v>
          </cell>
          <cell r="D153" t="str">
            <v>TT</v>
          </cell>
        </row>
        <row r="154">
          <cell r="C154" t="str">
            <v>HD226</v>
          </cell>
          <cell r="D154" t="str">
            <v>TC</v>
          </cell>
        </row>
        <row r="155">
          <cell r="C155" t="str">
            <v>HD227</v>
          </cell>
          <cell r="D155" t="str">
            <v>TC</v>
          </cell>
        </row>
        <row r="156">
          <cell r="C156" t="str">
            <v>HD228</v>
          </cell>
          <cell r="D156" t="str">
            <v>CC</v>
          </cell>
        </row>
        <row r="157">
          <cell r="C157" t="str">
            <v>HD229</v>
          </cell>
          <cell r="D157" t="str">
            <v>TC</v>
          </cell>
        </row>
        <row r="158">
          <cell r="C158" t="str">
            <v>HD230</v>
          </cell>
          <cell r="D158" t="str">
            <v>TC</v>
          </cell>
        </row>
        <row r="159">
          <cell r="C159" t="str">
            <v>HD231</v>
          </cell>
          <cell r="D159" t="str">
            <v>TC</v>
          </cell>
        </row>
        <row r="160">
          <cell r="C160" t="str">
            <v>HD232</v>
          </cell>
          <cell r="D160" t="str">
            <v>TC</v>
          </cell>
        </row>
        <row r="161">
          <cell r="C161" t="str">
            <v>HD233</v>
          </cell>
          <cell r="D161" t="str">
            <v>TT</v>
          </cell>
        </row>
        <row r="162">
          <cell r="C162" t="str">
            <v>HD235</v>
          </cell>
          <cell r="D162" t="str">
            <v>TC</v>
          </cell>
        </row>
        <row r="163">
          <cell r="C163" t="str">
            <v>HD236</v>
          </cell>
          <cell r="D163" t="str">
            <v>TT</v>
          </cell>
        </row>
        <row r="164">
          <cell r="C164" t="str">
            <v>HD237</v>
          </cell>
          <cell r="D164" t="str">
            <v>CC</v>
          </cell>
        </row>
        <row r="165">
          <cell r="C165" t="str">
            <v>HD238</v>
          </cell>
          <cell r="D165" t="str">
            <v>TC</v>
          </cell>
        </row>
        <row r="166">
          <cell r="C166" t="str">
            <v>HD239</v>
          </cell>
          <cell r="D166" t="str">
            <v>TT</v>
          </cell>
        </row>
        <row r="167">
          <cell r="C167" t="str">
            <v>HD240</v>
          </cell>
          <cell r="D167" t="str">
            <v>TC</v>
          </cell>
        </row>
        <row r="168">
          <cell r="C168" t="str">
            <v>HD241</v>
          </cell>
          <cell r="D168" t="str">
            <v>CC</v>
          </cell>
        </row>
        <row r="169">
          <cell r="C169" t="str">
            <v>HD242</v>
          </cell>
          <cell r="D169" t="str">
            <v>TC</v>
          </cell>
        </row>
        <row r="170">
          <cell r="C170" t="str">
            <v>HD243</v>
          </cell>
          <cell r="D170" t="str">
            <v>TC</v>
          </cell>
        </row>
        <row r="171">
          <cell r="C171" t="str">
            <v>HD244</v>
          </cell>
          <cell r="D171" t="str">
            <v>TT</v>
          </cell>
        </row>
        <row r="172">
          <cell r="C172" t="str">
            <v>HD245</v>
          </cell>
          <cell r="D172" t="str">
            <v>TC</v>
          </cell>
        </row>
        <row r="173">
          <cell r="C173" t="str">
            <v>HD246</v>
          </cell>
          <cell r="D173" t="str">
            <v>TC</v>
          </cell>
        </row>
        <row r="174">
          <cell r="C174" t="str">
            <v>HD247</v>
          </cell>
          <cell r="D174" t="str">
            <v>TT</v>
          </cell>
        </row>
        <row r="175">
          <cell r="C175" t="str">
            <v>HD248</v>
          </cell>
          <cell r="D175" t="str">
            <v>TT</v>
          </cell>
        </row>
        <row r="176">
          <cell r="C176" t="str">
            <v>HD249</v>
          </cell>
          <cell r="D176" t="str">
            <v>TT</v>
          </cell>
        </row>
        <row r="177">
          <cell r="C177" t="str">
            <v>HD250</v>
          </cell>
          <cell r="D177" t="str">
            <v>TC</v>
          </cell>
        </row>
        <row r="178">
          <cell r="C178" t="str">
            <v>HD251</v>
          </cell>
          <cell r="D178" t="str">
            <v>TC</v>
          </cell>
        </row>
        <row r="179">
          <cell r="C179" t="str">
            <v>HD252</v>
          </cell>
          <cell r="D179" t="str">
            <v>TT</v>
          </cell>
        </row>
        <row r="180">
          <cell r="C180" t="str">
            <v>HD253</v>
          </cell>
          <cell r="D180" t="str">
            <v>TT</v>
          </cell>
        </row>
        <row r="181">
          <cell r="C181" t="str">
            <v>HD254</v>
          </cell>
          <cell r="D181" t="str">
            <v>TC</v>
          </cell>
        </row>
        <row r="182">
          <cell r="C182" t="str">
            <v>HD255</v>
          </cell>
          <cell r="D182" t="str">
            <v>TC</v>
          </cell>
        </row>
        <row r="183">
          <cell r="C183" t="str">
            <v>HD257</v>
          </cell>
          <cell r="D183" t="str">
            <v>TT</v>
          </cell>
        </row>
        <row r="184">
          <cell r="C184" t="str">
            <v>HD258</v>
          </cell>
          <cell r="D184" t="str">
            <v>TC</v>
          </cell>
        </row>
        <row r="185">
          <cell r="C185" t="str">
            <v>HD259</v>
          </cell>
          <cell r="D185" t="str">
            <v>TC</v>
          </cell>
        </row>
        <row r="186">
          <cell r="C186" t="str">
            <v>HD260</v>
          </cell>
          <cell r="D186" t="str">
            <v>TC</v>
          </cell>
        </row>
        <row r="187">
          <cell r="C187" t="str">
            <v>HD261</v>
          </cell>
          <cell r="D187" t="str">
            <v>TC</v>
          </cell>
        </row>
        <row r="188">
          <cell r="C188" t="str">
            <v>HD262</v>
          </cell>
          <cell r="D188" t="str">
            <v>TC</v>
          </cell>
        </row>
        <row r="189">
          <cell r="C189" t="str">
            <v>HD263</v>
          </cell>
          <cell r="D189" t="str">
            <v>TC</v>
          </cell>
        </row>
        <row r="190">
          <cell r="C190" t="str">
            <v>HD264</v>
          </cell>
          <cell r="D190" t="str">
            <v>TT</v>
          </cell>
        </row>
        <row r="191">
          <cell r="C191" t="str">
            <v>HD265</v>
          </cell>
          <cell r="D191" t="str">
            <v>TC</v>
          </cell>
        </row>
        <row r="192">
          <cell r="C192" t="str">
            <v>HD266</v>
          </cell>
          <cell r="D192" t="str">
            <v>TC</v>
          </cell>
        </row>
        <row r="193">
          <cell r="C193" t="str">
            <v>HD267</v>
          </cell>
          <cell r="D193" t="str">
            <v>TT</v>
          </cell>
        </row>
        <row r="194">
          <cell r="C194" t="str">
            <v>HD268</v>
          </cell>
          <cell r="D194" t="str">
            <v>TT</v>
          </cell>
        </row>
        <row r="195">
          <cell r="C195" t="str">
            <v>HD269</v>
          </cell>
          <cell r="D195" t="str">
            <v>CC</v>
          </cell>
        </row>
        <row r="196">
          <cell r="C196" t="str">
            <v>HD270</v>
          </cell>
          <cell r="D196" t="str">
            <v>TT</v>
          </cell>
        </row>
        <row r="197">
          <cell r="C197" t="str">
            <v>HD271</v>
          </cell>
          <cell r="D197" t="str">
            <v>TC</v>
          </cell>
        </row>
        <row r="198">
          <cell r="C198" t="str">
            <v>HD272</v>
          </cell>
          <cell r="D198" t="str">
            <v>TC</v>
          </cell>
        </row>
        <row r="199">
          <cell r="C199" t="str">
            <v>HD273</v>
          </cell>
          <cell r="D199" t="str">
            <v>TC</v>
          </cell>
        </row>
        <row r="200">
          <cell r="C200" t="str">
            <v>HD274</v>
          </cell>
          <cell r="D200" t="str">
            <v>TT</v>
          </cell>
        </row>
        <row r="201">
          <cell r="C201" t="str">
            <v>HD275</v>
          </cell>
          <cell r="D201" t="str">
            <v>CC</v>
          </cell>
        </row>
        <row r="202">
          <cell r="C202" t="str">
            <v>HD276</v>
          </cell>
          <cell r="D202" t="str">
            <v>TC</v>
          </cell>
        </row>
        <row r="203">
          <cell r="C203" t="str">
            <v>HD277</v>
          </cell>
          <cell r="D203" t="str">
            <v>TT</v>
          </cell>
        </row>
        <row r="204">
          <cell r="C204" t="str">
            <v>HD278</v>
          </cell>
          <cell r="D204" t="str">
            <v>TT</v>
          </cell>
        </row>
        <row r="205">
          <cell r="C205" t="str">
            <v>HD279</v>
          </cell>
          <cell r="D205" t="str">
            <v>TC</v>
          </cell>
        </row>
        <row r="206">
          <cell r="C206" t="str">
            <v>HD280</v>
          </cell>
          <cell r="D206" t="str">
            <v>CC</v>
          </cell>
        </row>
        <row r="207">
          <cell r="C207" t="str">
            <v>HD281</v>
          </cell>
          <cell r="D207" t="str">
            <v>TC</v>
          </cell>
        </row>
        <row r="208">
          <cell r="C208" t="str">
            <v>HD282</v>
          </cell>
          <cell r="D208" t="str">
            <v>TC</v>
          </cell>
        </row>
        <row r="209">
          <cell r="C209" t="str">
            <v>HD283</v>
          </cell>
          <cell r="D209" t="str">
            <v>TT</v>
          </cell>
        </row>
        <row r="210">
          <cell r="C210" t="str">
            <v>HD284</v>
          </cell>
          <cell r="D210" t="str">
            <v>CC</v>
          </cell>
        </row>
        <row r="211">
          <cell r="C211" t="str">
            <v>HD285</v>
          </cell>
          <cell r="D211" t="str">
            <v>TC</v>
          </cell>
        </row>
        <row r="212">
          <cell r="C212" t="str">
            <v>HD286</v>
          </cell>
          <cell r="D212" t="str">
            <v>CC</v>
          </cell>
        </row>
        <row r="213">
          <cell r="C213" t="str">
            <v>HD287</v>
          </cell>
          <cell r="D213" t="str">
            <v>TC</v>
          </cell>
        </row>
        <row r="214">
          <cell r="C214" t="str">
            <v>HD288</v>
          </cell>
          <cell r="D214" t="str">
            <v>TC</v>
          </cell>
        </row>
        <row r="215">
          <cell r="C215" t="str">
            <v>HD289</v>
          </cell>
          <cell r="D215" t="str">
            <v>TT</v>
          </cell>
        </row>
        <row r="216">
          <cell r="C216" t="str">
            <v>HD290</v>
          </cell>
          <cell r="D216" t="str">
            <v>TC</v>
          </cell>
        </row>
        <row r="217">
          <cell r="C217" t="str">
            <v>HD291</v>
          </cell>
          <cell r="D217" t="str">
            <v>TC</v>
          </cell>
        </row>
        <row r="218">
          <cell r="C218" t="str">
            <v>HD292</v>
          </cell>
          <cell r="D218" t="str">
            <v>TC</v>
          </cell>
        </row>
        <row r="219">
          <cell r="C219" t="str">
            <v>HD293</v>
          </cell>
          <cell r="D219" t="str">
            <v>TT</v>
          </cell>
        </row>
        <row r="220">
          <cell r="C220" t="str">
            <v>HD294</v>
          </cell>
          <cell r="D220" t="str">
            <v>TT</v>
          </cell>
        </row>
        <row r="221">
          <cell r="C221" t="str">
            <v>HD295</v>
          </cell>
          <cell r="D221" t="str">
            <v>TC</v>
          </cell>
        </row>
        <row r="222">
          <cell r="C222" t="str">
            <v>HD296</v>
          </cell>
          <cell r="D222" t="str">
            <v>TC</v>
          </cell>
        </row>
        <row r="223">
          <cell r="C223" t="str">
            <v>HD297</v>
          </cell>
          <cell r="D223" t="str">
            <v>TT</v>
          </cell>
        </row>
        <row r="224">
          <cell r="C224" t="str">
            <v>HD298</v>
          </cell>
          <cell r="D224" t="str">
            <v>CC</v>
          </cell>
        </row>
        <row r="225">
          <cell r="C225" t="str">
            <v>HD299</v>
          </cell>
          <cell r="D225" t="str">
            <v>TT</v>
          </cell>
        </row>
        <row r="226">
          <cell r="C226" t="str">
            <v>HD300</v>
          </cell>
          <cell r="D226" t="str">
            <v>TC</v>
          </cell>
        </row>
        <row r="227">
          <cell r="C227" t="str">
            <v>HD301</v>
          </cell>
          <cell r="D227" t="str">
            <v>TT</v>
          </cell>
        </row>
        <row r="228">
          <cell r="C228" t="str">
            <v>HD302</v>
          </cell>
          <cell r="D228" t="str">
            <v>TC</v>
          </cell>
        </row>
        <row r="229">
          <cell r="C229" t="str">
            <v>HD303</v>
          </cell>
          <cell r="D229" t="str">
            <v>TC</v>
          </cell>
        </row>
        <row r="230">
          <cell r="C230" t="str">
            <v>HD304</v>
          </cell>
          <cell r="D230" t="str">
            <v>TC</v>
          </cell>
        </row>
        <row r="231">
          <cell r="C231" t="str">
            <v>HD305</v>
          </cell>
          <cell r="D231" t="str">
            <v>TC</v>
          </cell>
        </row>
        <row r="232">
          <cell r="C232" t="str">
            <v>HD306</v>
          </cell>
          <cell r="D232" t="str">
            <v>TT</v>
          </cell>
        </row>
        <row r="233">
          <cell r="C233" t="str">
            <v>HD307</v>
          </cell>
          <cell r="D233" t="str">
            <v>TT</v>
          </cell>
        </row>
        <row r="234">
          <cell r="C234" t="str">
            <v>HD308</v>
          </cell>
          <cell r="D234" t="str">
            <v>TT</v>
          </cell>
        </row>
        <row r="235">
          <cell r="C235" t="str">
            <v>HD309</v>
          </cell>
          <cell r="D235" t="str">
            <v>TC</v>
          </cell>
        </row>
        <row r="236">
          <cell r="C236" t="str">
            <v>HD310</v>
          </cell>
          <cell r="D236" t="str">
            <v>TC</v>
          </cell>
        </row>
        <row r="237">
          <cell r="C237" t="str">
            <v>HD311</v>
          </cell>
          <cell r="D237" t="str">
            <v>TC</v>
          </cell>
        </row>
        <row r="238">
          <cell r="C238" t="str">
            <v>HD312</v>
          </cell>
          <cell r="D238" t="str">
            <v>TT</v>
          </cell>
        </row>
        <row r="239">
          <cell r="C239" t="str">
            <v>HD313</v>
          </cell>
          <cell r="D239" t="str">
            <v>TC</v>
          </cell>
        </row>
        <row r="240">
          <cell r="C240" t="str">
            <v>HD314</v>
          </cell>
          <cell r="D240" t="str">
            <v>TT</v>
          </cell>
        </row>
        <row r="241">
          <cell r="C241" t="str">
            <v>HD315</v>
          </cell>
          <cell r="D241" t="str">
            <v>TT</v>
          </cell>
        </row>
        <row r="242">
          <cell r="C242" t="str">
            <v>HD316</v>
          </cell>
          <cell r="D242" t="str">
            <v>CC</v>
          </cell>
        </row>
        <row r="243">
          <cell r="C243" t="str">
            <v>HD317</v>
          </cell>
          <cell r="D243" t="str">
            <v>TC</v>
          </cell>
        </row>
        <row r="244">
          <cell r="C244" t="str">
            <v>HD318</v>
          </cell>
          <cell r="D244" t="str">
            <v>depleted</v>
          </cell>
        </row>
        <row r="245">
          <cell r="C245" t="str">
            <v>HD319</v>
          </cell>
          <cell r="D245" t="str">
            <v>TC</v>
          </cell>
        </row>
        <row r="246">
          <cell r="C246" t="str">
            <v>HD320</v>
          </cell>
          <cell r="D246" t="str">
            <v>CC</v>
          </cell>
        </row>
        <row r="247">
          <cell r="C247" t="str">
            <v>HD321</v>
          </cell>
          <cell r="D247" t="str">
            <v>TT</v>
          </cell>
        </row>
        <row r="248">
          <cell r="C248" t="str">
            <v>HD322</v>
          </cell>
          <cell r="D248" t="str">
            <v>TC</v>
          </cell>
        </row>
        <row r="249">
          <cell r="C249" t="str">
            <v>HD323</v>
          </cell>
          <cell r="D249" t="str">
            <v>TC</v>
          </cell>
        </row>
        <row r="250">
          <cell r="C250" t="str">
            <v>HD324</v>
          </cell>
          <cell r="D250" t="str">
            <v>TT</v>
          </cell>
        </row>
        <row r="251">
          <cell r="C251" t="str">
            <v>HD325</v>
          </cell>
          <cell r="D251" t="str">
            <v>TC</v>
          </cell>
        </row>
        <row r="252">
          <cell r="C252" t="str">
            <v>HD326</v>
          </cell>
          <cell r="D252" t="str">
            <v>TT</v>
          </cell>
        </row>
        <row r="253">
          <cell r="C253" t="str">
            <v>HD327</v>
          </cell>
          <cell r="D253" t="str">
            <v>TC</v>
          </cell>
        </row>
        <row r="254">
          <cell r="C254" t="str">
            <v>HD328</v>
          </cell>
          <cell r="D254" t="str">
            <v>TT</v>
          </cell>
        </row>
        <row r="255">
          <cell r="C255" t="str">
            <v>HD329</v>
          </cell>
          <cell r="D255" t="str">
            <v>CC</v>
          </cell>
        </row>
        <row r="256">
          <cell r="C256" t="str">
            <v>HD330</v>
          </cell>
          <cell r="D256" t="str">
            <v>TT</v>
          </cell>
        </row>
        <row r="257">
          <cell r="C257" t="str">
            <v>HD331</v>
          </cell>
          <cell r="D257" t="str">
            <v>TC</v>
          </cell>
        </row>
        <row r="258">
          <cell r="C258" t="str">
            <v>HD332</v>
          </cell>
          <cell r="D258" t="str">
            <v>TT</v>
          </cell>
        </row>
        <row r="259">
          <cell r="C259" t="str">
            <v>HD333</v>
          </cell>
          <cell r="D259" t="str">
            <v>TC</v>
          </cell>
        </row>
        <row r="260">
          <cell r="C260" t="str">
            <v>HD334</v>
          </cell>
          <cell r="D260" t="str">
            <v>TC</v>
          </cell>
        </row>
        <row r="261">
          <cell r="C261" t="str">
            <v>HD335</v>
          </cell>
          <cell r="D261" t="str">
            <v>TC</v>
          </cell>
        </row>
        <row r="262">
          <cell r="C262" t="str">
            <v>HD336</v>
          </cell>
          <cell r="D262" t="str">
            <v>TT</v>
          </cell>
        </row>
        <row r="263">
          <cell r="C263" t="str">
            <v>HD337</v>
          </cell>
          <cell r="D263" t="str">
            <v>TT</v>
          </cell>
        </row>
        <row r="264">
          <cell r="C264" t="str">
            <v>HD338</v>
          </cell>
          <cell r="D264" t="str">
            <v>TT</v>
          </cell>
        </row>
        <row r="265">
          <cell r="C265" t="str">
            <v>HD339</v>
          </cell>
          <cell r="D265" t="str">
            <v>TT</v>
          </cell>
        </row>
        <row r="266">
          <cell r="C266" t="str">
            <v>HD340</v>
          </cell>
          <cell r="D266" t="str">
            <v>TC</v>
          </cell>
        </row>
        <row r="267">
          <cell r="C267" t="str">
            <v>HD341</v>
          </cell>
          <cell r="D267" t="str">
            <v>TC</v>
          </cell>
        </row>
        <row r="268">
          <cell r="C268" t="str">
            <v>HD342</v>
          </cell>
          <cell r="D268" t="str">
            <v>TC</v>
          </cell>
        </row>
        <row r="269">
          <cell r="C269" t="str">
            <v>HD343</v>
          </cell>
          <cell r="D269" t="str">
            <v>TC</v>
          </cell>
        </row>
        <row r="270">
          <cell r="C270" t="str">
            <v>HD344</v>
          </cell>
          <cell r="D270" t="str">
            <v>TT</v>
          </cell>
        </row>
        <row r="271">
          <cell r="C271" t="str">
            <v>HD345</v>
          </cell>
          <cell r="D271" t="str">
            <v>TC</v>
          </cell>
        </row>
        <row r="272">
          <cell r="C272" t="str">
            <v>HD346</v>
          </cell>
          <cell r="D272" t="str">
            <v>CC</v>
          </cell>
        </row>
        <row r="273">
          <cell r="C273" t="str">
            <v>HD347</v>
          </cell>
          <cell r="D273" t="str">
            <v>TC</v>
          </cell>
        </row>
        <row r="274">
          <cell r="C274" t="str">
            <v>HD348</v>
          </cell>
          <cell r="D274" t="str">
            <v>TT</v>
          </cell>
        </row>
        <row r="275">
          <cell r="C275" t="str">
            <v>HD349</v>
          </cell>
          <cell r="D275" t="str">
            <v>CC</v>
          </cell>
        </row>
        <row r="276">
          <cell r="C276" t="str">
            <v>HD350</v>
          </cell>
          <cell r="D276" t="str">
            <v>TT</v>
          </cell>
        </row>
        <row r="277">
          <cell r="C277" t="str">
            <v>HD351</v>
          </cell>
          <cell r="D277" t="str">
            <v>TT</v>
          </cell>
        </row>
        <row r="278">
          <cell r="C278" t="str">
            <v>HD352</v>
          </cell>
          <cell r="D278" t="str">
            <v>TT</v>
          </cell>
        </row>
        <row r="279">
          <cell r="C279" t="str">
            <v>HD353</v>
          </cell>
          <cell r="D279" t="str">
            <v>TT</v>
          </cell>
        </row>
        <row r="280">
          <cell r="C280" t="str">
            <v>HD354</v>
          </cell>
          <cell r="D280" t="str">
            <v>TC</v>
          </cell>
        </row>
        <row r="281">
          <cell r="C281" t="str">
            <v>HD355</v>
          </cell>
          <cell r="D281" t="str">
            <v>TT</v>
          </cell>
        </row>
        <row r="282">
          <cell r="C282" t="str">
            <v>HD356</v>
          </cell>
          <cell r="D282" t="str">
            <v>TC</v>
          </cell>
        </row>
        <row r="283">
          <cell r="C283" t="str">
            <v>HD357</v>
          </cell>
          <cell r="D283" t="str">
            <v>TT</v>
          </cell>
        </row>
        <row r="284">
          <cell r="C284" t="str">
            <v>HD358</v>
          </cell>
          <cell r="D284" t="str">
            <v>TT</v>
          </cell>
        </row>
        <row r="285">
          <cell r="C285" t="str">
            <v>HD359</v>
          </cell>
          <cell r="D285" t="str">
            <v>TT</v>
          </cell>
        </row>
        <row r="286">
          <cell r="C286" t="str">
            <v>HD360</v>
          </cell>
          <cell r="D286" t="str">
            <v>TC</v>
          </cell>
        </row>
        <row r="287">
          <cell r="C287" t="str">
            <v>HD361</v>
          </cell>
          <cell r="D287" t="str">
            <v>TC</v>
          </cell>
        </row>
        <row r="288">
          <cell r="C288" t="str">
            <v>HD362</v>
          </cell>
          <cell r="D288" t="str">
            <v>TT</v>
          </cell>
        </row>
        <row r="289">
          <cell r="C289" t="str">
            <v>HD363</v>
          </cell>
          <cell r="D289" t="str">
            <v>TC</v>
          </cell>
        </row>
        <row r="290">
          <cell r="C290" t="str">
            <v>HD364</v>
          </cell>
          <cell r="D290" t="str">
            <v>TC</v>
          </cell>
        </row>
        <row r="291">
          <cell r="C291" t="str">
            <v>HD365</v>
          </cell>
          <cell r="D291" t="str">
            <v>TT</v>
          </cell>
        </row>
        <row r="292">
          <cell r="C292" t="str">
            <v>HD366</v>
          </cell>
          <cell r="D292" t="str">
            <v>TT</v>
          </cell>
        </row>
        <row r="293">
          <cell r="C293" t="str">
            <v>HD367</v>
          </cell>
          <cell r="D293" t="str">
            <v>TC</v>
          </cell>
        </row>
        <row r="294">
          <cell r="C294" t="str">
            <v>HD368</v>
          </cell>
          <cell r="D294" t="str">
            <v>TT</v>
          </cell>
        </row>
        <row r="295">
          <cell r="C295" t="str">
            <v>HD369</v>
          </cell>
          <cell r="D295" t="str">
            <v>TT</v>
          </cell>
        </row>
        <row r="296">
          <cell r="C296" t="str">
            <v>HD370</v>
          </cell>
          <cell r="D296" t="str">
            <v>CC</v>
          </cell>
        </row>
        <row r="297">
          <cell r="C297" t="str">
            <v>HD371</v>
          </cell>
          <cell r="D297" t="str">
            <v>TC</v>
          </cell>
        </row>
        <row r="298">
          <cell r="C298" t="str">
            <v>HD372</v>
          </cell>
          <cell r="D298" t="str">
            <v>CC</v>
          </cell>
        </row>
        <row r="299">
          <cell r="C299" t="str">
            <v>HD373</v>
          </cell>
          <cell r="D299" t="str">
            <v>TT</v>
          </cell>
        </row>
        <row r="300">
          <cell r="C300" t="str">
            <v>HD374</v>
          </cell>
          <cell r="D300" t="str">
            <v>TT</v>
          </cell>
        </row>
        <row r="301">
          <cell r="C301" t="str">
            <v>HD375</v>
          </cell>
          <cell r="D301" t="str">
            <v>TT</v>
          </cell>
        </row>
        <row r="302">
          <cell r="C302" t="str">
            <v>HD376</v>
          </cell>
          <cell r="D302" t="str">
            <v>TT</v>
          </cell>
        </row>
        <row r="303">
          <cell r="C303" t="str">
            <v>HD377</v>
          </cell>
          <cell r="D303" t="str">
            <v>TT</v>
          </cell>
        </row>
        <row r="304">
          <cell r="C304" t="str">
            <v>HD378</v>
          </cell>
          <cell r="D304" t="str">
            <v>TT</v>
          </cell>
        </row>
        <row r="305">
          <cell r="C305" t="str">
            <v>HD379</v>
          </cell>
          <cell r="D305" t="str">
            <v>TT</v>
          </cell>
        </row>
        <row r="306">
          <cell r="C306" t="str">
            <v>HD380</v>
          </cell>
          <cell r="D306" t="str">
            <v>TT</v>
          </cell>
        </row>
        <row r="307">
          <cell r="C307" t="str">
            <v>HD381</v>
          </cell>
          <cell r="D307" t="str">
            <v>TC</v>
          </cell>
        </row>
        <row r="308">
          <cell r="C308" t="str">
            <v>HD382</v>
          </cell>
          <cell r="D308" t="str">
            <v>TT</v>
          </cell>
        </row>
        <row r="309">
          <cell r="C309" t="str">
            <v>HD383</v>
          </cell>
          <cell r="D309" t="str">
            <v>TC</v>
          </cell>
        </row>
        <row r="310">
          <cell r="C310" t="str">
            <v>HD384</v>
          </cell>
          <cell r="D310" t="str">
            <v>TC</v>
          </cell>
        </row>
        <row r="311">
          <cell r="C311" t="str">
            <v>HD385</v>
          </cell>
          <cell r="D311" t="str">
            <v>TC</v>
          </cell>
        </row>
        <row r="312">
          <cell r="C312" t="str">
            <v>HD386</v>
          </cell>
          <cell r="D312" t="str">
            <v>CC</v>
          </cell>
        </row>
        <row r="313">
          <cell r="C313" t="str">
            <v>HD387</v>
          </cell>
          <cell r="D313" t="str">
            <v>TT</v>
          </cell>
        </row>
        <row r="314">
          <cell r="C314" t="str">
            <v>HD388</v>
          </cell>
          <cell r="D314" t="str">
            <v>TC</v>
          </cell>
        </row>
        <row r="315">
          <cell r="C315" t="str">
            <v>HD389</v>
          </cell>
          <cell r="D315" t="str">
            <v>TC</v>
          </cell>
        </row>
        <row r="316">
          <cell r="C316" t="str">
            <v>HD390</v>
          </cell>
          <cell r="D316" t="str">
            <v>CC</v>
          </cell>
        </row>
        <row r="317">
          <cell r="C317" t="str">
            <v>HD391</v>
          </cell>
          <cell r="D317" t="str">
            <v>TT</v>
          </cell>
        </row>
        <row r="318">
          <cell r="C318" t="str">
            <v>HD392</v>
          </cell>
          <cell r="D318" t="str">
            <v>TT</v>
          </cell>
        </row>
        <row r="319">
          <cell r="C319" t="str">
            <v>HD393</v>
          </cell>
          <cell r="D319" t="str">
            <v>TT</v>
          </cell>
        </row>
        <row r="320">
          <cell r="C320" t="str">
            <v>HD394</v>
          </cell>
          <cell r="D320" t="str">
            <v>TT</v>
          </cell>
        </row>
        <row r="321">
          <cell r="C321" t="str">
            <v>HD395</v>
          </cell>
          <cell r="D321" t="str">
            <v>CC</v>
          </cell>
        </row>
        <row r="322">
          <cell r="C322" t="str">
            <v>HD396</v>
          </cell>
          <cell r="D322" t="str">
            <v>CC</v>
          </cell>
        </row>
        <row r="323">
          <cell r="C323" t="str">
            <v>HD397</v>
          </cell>
          <cell r="D323" t="str">
            <v>CC</v>
          </cell>
        </row>
        <row r="324">
          <cell r="C324" t="str">
            <v>HD398</v>
          </cell>
          <cell r="D324" t="str">
            <v>TC</v>
          </cell>
        </row>
        <row r="325">
          <cell r="C325" t="str">
            <v>HD399</v>
          </cell>
          <cell r="D325" t="str">
            <v>TT</v>
          </cell>
        </row>
        <row r="326">
          <cell r="C326" t="str">
            <v>HD400</v>
          </cell>
          <cell r="D326" t="str">
            <v>TC</v>
          </cell>
        </row>
        <row r="327">
          <cell r="C327" t="str">
            <v>HD401</v>
          </cell>
          <cell r="D327" t="str">
            <v>TC</v>
          </cell>
        </row>
        <row r="328">
          <cell r="C328" t="str">
            <v>HD402</v>
          </cell>
          <cell r="D328" t="str">
            <v>TC</v>
          </cell>
        </row>
        <row r="329">
          <cell r="C329" t="str">
            <v>HD403</v>
          </cell>
          <cell r="D329" t="str">
            <v>TT</v>
          </cell>
        </row>
        <row r="330">
          <cell r="C330" t="str">
            <v>HD404</v>
          </cell>
          <cell r="D330" t="str">
            <v>TC</v>
          </cell>
        </row>
        <row r="331">
          <cell r="C331" t="str">
            <v>HD405</v>
          </cell>
          <cell r="D331" t="str">
            <v>TT</v>
          </cell>
        </row>
        <row r="332">
          <cell r="C332" t="str">
            <v>HD406</v>
          </cell>
          <cell r="D332" t="str">
            <v>TC</v>
          </cell>
        </row>
        <row r="333">
          <cell r="C333" t="str">
            <v>HD407</v>
          </cell>
          <cell r="D333" t="str">
            <v>TT</v>
          </cell>
        </row>
        <row r="334">
          <cell r="C334" t="str">
            <v>HD408</v>
          </cell>
          <cell r="D334" t="str">
            <v>TC</v>
          </cell>
        </row>
        <row r="335">
          <cell r="C335" t="str">
            <v>HD409</v>
          </cell>
          <cell r="D335" t="str">
            <v>TT</v>
          </cell>
        </row>
        <row r="336">
          <cell r="C336" t="str">
            <v>HD410</v>
          </cell>
          <cell r="D336" t="str">
            <v>TC</v>
          </cell>
        </row>
        <row r="337">
          <cell r="C337" t="str">
            <v>HD411</v>
          </cell>
          <cell r="D337" t="str">
            <v>TC</v>
          </cell>
        </row>
        <row r="338">
          <cell r="C338" t="str">
            <v>HD412</v>
          </cell>
          <cell r="D338" t="str">
            <v>TT</v>
          </cell>
        </row>
        <row r="339">
          <cell r="C339" t="str">
            <v>HD413</v>
          </cell>
          <cell r="D339" t="str">
            <v>TC</v>
          </cell>
        </row>
        <row r="340">
          <cell r="C340" t="str">
            <v>NCIF-001</v>
          </cell>
          <cell r="D340" t="str">
            <v>TC</v>
          </cell>
        </row>
        <row r="341">
          <cell r="C341" t="str">
            <v>NCIF-002</v>
          </cell>
          <cell r="D341" t="str">
            <v>TC</v>
          </cell>
        </row>
        <row r="342">
          <cell r="C342" t="str">
            <v>NCIF-004</v>
          </cell>
          <cell r="D342" t="str">
            <v>TT</v>
          </cell>
        </row>
        <row r="343">
          <cell r="C343" t="str">
            <v>NCIF-005</v>
          </cell>
          <cell r="D343" t="str">
            <v>CC</v>
          </cell>
        </row>
        <row r="344">
          <cell r="C344" t="str">
            <v>NCIF-006</v>
          </cell>
          <cell r="D344" t="str">
            <v>CC</v>
          </cell>
        </row>
        <row r="345">
          <cell r="C345" t="str">
            <v>NCIF-007</v>
          </cell>
          <cell r="D345" t="str">
            <v>TC</v>
          </cell>
        </row>
        <row r="346">
          <cell r="C346" t="str">
            <v>NCIF-008</v>
          </cell>
          <cell r="D346" t="str">
            <v>CC</v>
          </cell>
        </row>
        <row r="347">
          <cell r="C347" t="str">
            <v>NCIF-009</v>
          </cell>
          <cell r="D347" t="str">
            <v>TT</v>
          </cell>
        </row>
        <row r="348">
          <cell r="C348" t="str">
            <v>NCIF-010</v>
          </cell>
          <cell r="D348" t="str">
            <v>TT</v>
          </cell>
        </row>
        <row r="349">
          <cell r="C349" t="str">
            <v>NCIF-011</v>
          </cell>
          <cell r="D349" t="str">
            <v>TT</v>
          </cell>
        </row>
        <row r="350">
          <cell r="C350" t="str">
            <v>NCIF-012</v>
          </cell>
          <cell r="D350" t="str">
            <v>TT</v>
          </cell>
        </row>
        <row r="351">
          <cell r="C351" t="str">
            <v>NCIF-013</v>
          </cell>
          <cell r="D351" t="str">
            <v>TC</v>
          </cell>
        </row>
        <row r="352">
          <cell r="C352" t="str">
            <v>NCIF-014</v>
          </cell>
          <cell r="D352" t="str">
            <v>TT</v>
          </cell>
        </row>
        <row r="353">
          <cell r="C353" t="str">
            <v>NCIF-015</v>
          </cell>
          <cell r="D353" t="str">
            <v>TT</v>
          </cell>
        </row>
        <row r="354">
          <cell r="C354" t="str">
            <v>NCIF-016</v>
          </cell>
          <cell r="D354" t="str">
            <v>TT</v>
          </cell>
        </row>
        <row r="355">
          <cell r="C355" t="str">
            <v>NCIF-017</v>
          </cell>
          <cell r="D355" t="str">
            <v>TT</v>
          </cell>
        </row>
        <row r="356">
          <cell r="C356" t="str">
            <v>NCIF-018</v>
          </cell>
          <cell r="D356" t="str">
            <v>CC</v>
          </cell>
        </row>
        <row r="357">
          <cell r="C357" t="str">
            <v>NCIF-019</v>
          </cell>
          <cell r="D357" t="str">
            <v>TT</v>
          </cell>
        </row>
        <row r="358">
          <cell r="C358" t="str">
            <v>NCIF-020</v>
          </cell>
          <cell r="D358" t="str">
            <v>TT</v>
          </cell>
        </row>
        <row r="359">
          <cell r="C359" t="str">
            <v>NCIF-021</v>
          </cell>
          <cell r="D359" t="str">
            <v>TC</v>
          </cell>
        </row>
        <row r="360">
          <cell r="C360" t="str">
            <v>NCIF-022</v>
          </cell>
          <cell r="D360" t="str">
            <v>TC</v>
          </cell>
        </row>
        <row r="361">
          <cell r="C361" t="str">
            <v>NCIF-023</v>
          </cell>
          <cell r="D361" t="str">
            <v>TC</v>
          </cell>
        </row>
        <row r="362">
          <cell r="C362" t="str">
            <v>NCIF-024</v>
          </cell>
          <cell r="D362" t="str">
            <v>TC</v>
          </cell>
        </row>
        <row r="363">
          <cell r="C363" t="str">
            <v>NCIF-025</v>
          </cell>
          <cell r="D363" t="str">
            <v>TC</v>
          </cell>
        </row>
        <row r="364">
          <cell r="C364" t="str">
            <v>NCIF-026</v>
          </cell>
          <cell r="D364" t="str">
            <v>TC</v>
          </cell>
        </row>
        <row r="365">
          <cell r="C365" t="str">
            <v>NCIF-027</v>
          </cell>
          <cell r="D365" t="str">
            <v>TT</v>
          </cell>
        </row>
        <row r="366">
          <cell r="C366" t="str">
            <v>NCIF-028</v>
          </cell>
          <cell r="D366" t="str">
            <v>TT</v>
          </cell>
        </row>
        <row r="367">
          <cell r="C367" t="str">
            <v>NCIF-029</v>
          </cell>
          <cell r="D367" t="str">
            <v>CC</v>
          </cell>
        </row>
        <row r="368">
          <cell r="C368" t="str">
            <v>NCIF-031</v>
          </cell>
          <cell r="D368" t="str">
            <v>TC</v>
          </cell>
        </row>
        <row r="369">
          <cell r="C369" t="str">
            <v>NCIF-032</v>
          </cell>
          <cell r="D369" t="str">
            <v>TT</v>
          </cell>
        </row>
        <row r="370">
          <cell r="C370" t="str">
            <v>NCIF-033</v>
          </cell>
          <cell r="D370" t="str">
            <v>CC</v>
          </cell>
        </row>
        <row r="371">
          <cell r="C371" t="str">
            <v>NCIF-034</v>
          </cell>
          <cell r="D371" t="str">
            <v>TT</v>
          </cell>
        </row>
        <row r="372">
          <cell r="C372" t="str">
            <v>NCIF-035</v>
          </cell>
          <cell r="D372" t="str">
            <v>TT</v>
          </cell>
        </row>
        <row r="373">
          <cell r="C373" t="str">
            <v>NCIF-036</v>
          </cell>
          <cell r="D373" t="str">
            <v>TT</v>
          </cell>
        </row>
        <row r="374">
          <cell r="C374" t="str">
            <v>NCIF-037</v>
          </cell>
          <cell r="D374" t="str">
            <v>TC</v>
          </cell>
        </row>
        <row r="375">
          <cell r="C375" t="str">
            <v>NCIF-038</v>
          </cell>
          <cell r="D375" t="str">
            <v>CC</v>
          </cell>
        </row>
        <row r="376">
          <cell r="C376" t="str">
            <v>NCIF-039</v>
          </cell>
          <cell r="D376" t="str">
            <v>TT</v>
          </cell>
        </row>
        <row r="377">
          <cell r="C377" t="str">
            <v>NCIF-040</v>
          </cell>
          <cell r="D377" t="str">
            <v>TT</v>
          </cell>
        </row>
        <row r="378">
          <cell r="C378" t="str">
            <v>NCIF-041</v>
          </cell>
          <cell r="D378" t="str">
            <v>TC</v>
          </cell>
        </row>
        <row r="379">
          <cell r="C379" t="str">
            <v>NCIF-042</v>
          </cell>
          <cell r="D379" t="str">
            <v>TC</v>
          </cell>
        </row>
        <row r="380">
          <cell r="C380" t="str">
            <v>NCIF-043</v>
          </cell>
          <cell r="D380" t="str">
            <v>TC</v>
          </cell>
        </row>
        <row r="381">
          <cell r="C381" t="str">
            <v>NCIF-044</v>
          </cell>
          <cell r="D381" t="str">
            <v>TC</v>
          </cell>
        </row>
        <row r="382">
          <cell r="C382" t="str">
            <v>NCIF-045</v>
          </cell>
          <cell r="D382" t="str">
            <v>TT</v>
          </cell>
        </row>
        <row r="383">
          <cell r="C383" t="str">
            <v>NCIF-046</v>
          </cell>
          <cell r="D383" t="str">
            <v>TT</v>
          </cell>
        </row>
        <row r="384">
          <cell r="C384" t="str">
            <v>NCIF-047</v>
          </cell>
          <cell r="D384" t="str">
            <v>CC</v>
          </cell>
        </row>
        <row r="385">
          <cell r="C385" t="str">
            <v>NCIF-048</v>
          </cell>
          <cell r="D385" t="str">
            <v>TT</v>
          </cell>
        </row>
        <row r="386">
          <cell r="C386" t="str">
            <v>NCIF-049</v>
          </cell>
          <cell r="D386" t="str">
            <v>TT</v>
          </cell>
        </row>
        <row r="387">
          <cell r="C387" t="str">
            <v>NCIF-050</v>
          </cell>
          <cell r="D387" t="str">
            <v>TT</v>
          </cell>
        </row>
        <row r="388">
          <cell r="C388" t="str">
            <v>NCIF-051</v>
          </cell>
          <cell r="D388" t="str">
            <v>CC</v>
          </cell>
        </row>
        <row r="389">
          <cell r="C389" t="str">
            <v>NCIF-052</v>
          </cell>
          <cell r="D389" t="str">
            <v>TC</v>
          </cell>
        </row>
        <row r="390">
          <cell r="C390" t="str">
            <v>NCIF-053</v>
          </cell>
          <cell r="D390" t="str">
            <v>TC</v>
          </cell>
        </row>
        <row r="391">
          <cell r="C391" t="str">
            <v>NCIF-054</v>
          </cell>
          <cell r="D391" t="str">
            <v>TT</v>
          </cell>
        </row>
        <row r="392">
          <cell r="C392" t="str">
            <v>NCIF-055</v>
          </cell>
          <cell r="D392" t="str">
            <v>TT</v>
          </cell>
        </row>
        <row r="393">
          <cell r="C393" t="str">
            <v>NCIF-056</v>
          </cell>
          <cell r="D393" t="str">
            <v>TT</v>
          </cell>
        </row>
        <row r="394">
          <cell r="C394" t="str">
            <v>NCIF-057</v>
          </cell>
          <cell r="D394" t="str">
            <v>TC</v>
          </cell>
        </row>
        <row r="395">
          <cell r="C395" t="str">
            <v>NCIF-058</v>
          </cell>
          <cell r="D395" t="str">
            <v>TT</v>
          </cell>
        </row>
        <row r="396">
          <cell r="C396" t="str">
            <v>NCIF-059</v>
          </cell>
          <cell r="D396" t="str">
            <v>TC</v>
          </cell>
        </row>
        <row r="397">
          <cell r="C397" t="str">
            <v>NCIF-060</v>
          </cell>
          <cell r="D397" t="str">
            <v>CC</v>
          </cell>
        </row>
        <row r="398">
          <cell r="C398" t="str">
            <v>NCIF-061</v>
          </cell>
          <cell r="D398" t="str">
            <v>TT</v>
          </cell>
        </row>
        <row r="399">
          <cell r="C399" t="str">
            <v>NCIF-062</v>
          </cell>
          <cell r="D399" t="str">
            <v>TT</v>
          </cell>
        </row>
        <row r="400">
          <cell r="C400" t="str">
            <v>NCIF-063</v>
          </cell>
          <cell r="D400" t="str">
            <v>CC</v>
          </cell>
        </row>
        <row r="401">
          <cell r="C401" t="str">
            <v>NCIF-064</v>
          </cell>
          <cell r="D401" t="str">
            <v>TC</v>
          </cell>
        </row>
        <row r="402">
          <cell r="C402" t="str">
            <v>NCIF-065</v>
          </cell>
          <cell r="D402" t="str">
            <v>CC</v>
          </cell>
        </row>
        <row r="403">
          <cell r="C403" t="str">
            <v>NCIF-066</v>
          </cell>
          <cell r="D403" t="str">
            <v>TC</v>
          </cell>
        </row>
        <row r="404">
          <cell r="C404" t="str">
            <v>NCIF-067</v>
          </cell>
          <cell r="D404" t="str">
            <v>CC</v>
          </cell>
        </row>
        <row r="405">
          <cell r="C405" t="str">
            <v>NCIF-068</v>
          </cell>
          <cell r="D405" t="str">
            <v>CC</v>
          </cell>
        </row>
        <row r="406">
          <cell r="C406" t="str">
            <v>NCIF-069</v>
          </cell>
          <cell r="D406" t="str">
            <v>TC</v>
          </cell>
        </row>
        <row r="407">
          <cell r="C407" t="str">
            <v>NCIF-070</v>
          </cell>
          <cell r="D407" t="str">
            <v>TC</v>
          </cell>
        </row>
        <row r="408">
          <cell r="C408" t="str">
            <v>NCIF-071</v>
          </cell>
          <cell r="D408" t="str">
            <v>TC</v>
          </cell>
        </row>
        <row r="409">
          <cell r="C409" t="str">
            <v>NCIF-072</v>
          </cell>
          <cell r="D409" t="str">
            <v>CC</v>
          </cell>
        </row>
        <row r="410">
          <cell r="C410" t="str">
            <v>NCIF-073</v>
          </cell>
          <cell r="D410" t="str">
            <v>TC</v>
          </cell>
        </row>
        <row r="411">
          <cell r="C411" t="str">
            <v>NCIF-074</v>
          </cell>
          <cell r="D411" t="str">
            <v>TT</v>
          </cell>
        </row>
        <row r="412">
          <cell r="C412" t="str">
            <v>NCIF-075</v>
          </cell>
          <cell r="D412" t="str">
            <v>TC</v>
          </cell>
        </row>
        <row r="413">
          <cell r="C413" t="str">
            <v>NCIF-076</v>
          </cell>
          <cell r="D413" t="str">
            <v>TT</v>
          </cell>
        </row>
        <row r="414">
          <cell r="C414" t="str">
            <v>NCIF-077</v>
          </cell>
          <cell r="D414" t="str">
            <v>TT</v>
          </cell>
        </row>
        <row r="415">
          <cell r="C415" t="str">
            <v>NCIF-078</v>
          </cell>
          <cell r="D415" t="str">
            <v>TT</v>
          </cell>
        </row>
        <row r="416">
          <cell r="C416" t="str">
            <v>NCIF-079</v>
          </cell>
          <cell r="D416" t="str">
            <v>TT</v>
          </cell>
        </row>
        <row r="417">
          <cell r="C417" t="str">
            <v>NCIF-080</v>
          </cell>
          <cell r="D417" t="str">
            <v>TT</v>
          </cell>
        </row>
        <row r="418">
          <cell r="C418" t="str">
            <v>NCIF-081</v>
          </cell>
          <cell r="D418" t="str">
            <v>TT</v>
          </cell>
        </row>
        <row r="419">
          <cell r="C419" t="str">
            <v>NCIF-082</v>
          </cell>
          <cell r="D419" t="str">
            <v>CC</v>
          </cell>
        </row>
        <row r="420">
          <cell r="C420" t="str">
            <v>NCIF-083</v>
          </cell>
          <cell r="D420" t="str">
            <v>TT</v>
          </cell>
        </row>
        <row r="421">
          <cell r="C421" t="str">
            <v>NCIF-084</v>
          </cell>
          <cell r="D421" t="str">
            <v>TT</v>
          </cell>
        </row>
        <row r="422">
          <cell r="C422" t="str">
            <v>NCIF-085</v>
          </cell>
          <cell r="D422" t="str">
            <v>TC</v>
          </cell>
        </row>
        <row r="423">
          <cell r="C423" t="str">
            <v>NCIF-086</v>
          </cell>
          <cell r="D423" t="str">
            <v>TC</v>
          </cell>
        </row>
        <row r="424">
          <cell r="C424" t="str">
            <v>NCIF-087</v>
          </cell>
          <cell r="D424" t="str">
            <v>TC</v>
          </cell>
        </row>
        <row r="425">
          <cell r="C425" t="str">
            <v>NCIF-088</v>
          </cell>
          <cell r="D425" t="str">
            <v>CC</v>
          </cell>
        </row>
        <row r="426">
          <cell r="C426" t="str">
            <v>NCIF-089</v>
          </cell>
          <cell r="D426" t="str">
            <v>TT</v>
          </cell>
        </row>
        <row r="427">
          <cell r="C427" t="str">
            <v>NCIF-090</v>
          </cell>
          <cell r="D427" t="str">
            <v>TT</v>
          </cell>
        </row>
        <row r="428">
          <cell r="C428" t="str">
            <v>NCIF-091</v>
          </cell>
          <cell r="D428" t="str">
            <v>TC</v>
          </cell>
        </row>
        <row r="429">
          <cell r="C429" t="str">
            <v>NCIF-092</v>
          </cell>
          <cell r="D429" t="str">
            <v>TT</v>
          </cell>
        </row>
        <row r="430">
          <cell r="C430" t="str">
            <v>NCIF-093</v>
          </cell>
          <cell r="D430" t="str">
            <v>TC</v>
          </cell>
        </row>
        <row r="431">
          <cell r="C431" t="str">
            <v>NCIF-094</v>
          </cell>
          <cell r="D431" t="str">
            <v>TT</v>
          </cell>
        </row>
        <row r="432">
          <cell r="C432" t="str">
            <v>NCIF-095</v>
          </cell>
          <cell r="D432" t="str">
            <v>TC</v>
          </cell>
        </row>
        <row r="433">
          <cell r="C433" t="str">
            <v>NCIF-096</v>
          </cell>
          <cell r="D433" t="str">
            <v>TC</v>
          </cell>
        </row>
        <row r="434">
          <cell r="C434" t="str">
            <v>NCIF-097</v>
          </cell>
          <cell r="D434" t="str">
            <v>TC</v>
          </cell>
        </row>
        <row r="435">
          <cell r="C435" t="str">
            <v>NCIF-098</v>
          </cell>
          <cell r="D435" t="str">
            <v>CC</v>
          </cell>
        </row>
        <row r="436">
          <cell r="C436" t="str">
            <v>NCIF-099</v>
          </cell>
          <cell r="D436" t="str">
            <v>TT</v>
          </cell>
        </row>
        <row r="437">
          <cell r="C437" t="str">
            <v>NCIF-101</v>
          </cell>
          <cell r="D437" t="str">
            <v>TC</v>
          </cell>
        </row>
        <row r="438">
          <cell r="C438" t="str">
            <v>NCIF-102</v>
          </cell>
          <cell r="D438" t="str">
            <v>TC</v>
          </cell>
        </row>
        <row r="439">
          <cell r="C439" t="str">
            <v>NCIF-103</v>
          </cell>
          <cell r="D439" t="str">
            <v>TT</v>
          </cell>
        </row>
        <row r="440">
          <cell r="C440" t="str">
            <v>66K00840</v>
          </cell>
          <cell r="D440" t="str">
            <v>TT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E228-D91A-104F-92D3-3A2DA78C4309}">
  <sheetPr filterMode="1"/>
  <dimension ref="A1:R48"/>
  <sheetViews>
    <sheetView tabSelected="1" zoomScale="84" workbookViewId="0">
      <selection sqref="A1:N48"/>
    </sheetView>
  </sheetViews>
  <sheetFormatPr baseColWidth="10" defaultRowHeight="16" x14ac:dyDescent="0.2"/>
  <cols>
    <col min="9" max="10" width="19" bestFit="1" customWidth="1"/>
    <col min="11" max="11" width="17.6640625" bestFit="1" customWidth="1"/>
    <col min="12" max="12" width="16.5" bestFit="1" customWidth="1"/>
    <col min="13" max="13" width="13.33203125" bestFit="1" customWidth="1"/>
    <col min="14" max="14" width="15.1640625" bestFit="1" customWidth="1"/>
  </cols>
  <sheetData>
    <row r="1" spans="1:18" ht="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67</v>
      </c>
      <c r="I1" t="s">
        <v>69</v>
      </c>
      <c r="J1" t="s">
        <v>70</v>
      </c>
      <c r="K1" t="s">
        <v>71</v>
      </c>
      <c r="L1" s="4" t="s">
        <v>68</v>
      </c>
      <c r="M1" t="s">
        <v>72</v>
      </c>
      <c r="N1" s="2" t="s">
        <v>73</v>
      </c>
      <c r="O1" s="2"/>
      <c r="P1" s="2"/>
      <c r="Q1" s="2"/>
      <c r="R1" s="2"/>
    </row>
    <row r="2" spans="1:18" ht="18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17.6373</v>
      </c>
      <c r="I2">
        <v>51.2</v>
      </c>
      <c r="J2">
        <v>24.93</v>
      </c>
      <c r="K2">
        <v>61.98</v>
      </c>
      <c r="L2">
        <v>58.92</v>
      </c>
      <c r="M2" t="str">
        <f>VLOOKUP($A2,'[1]All donor summary'!$C$2:$D$700,2,0)</f>
        <v>TT</v>
      </c>
      <c r="N2" s="3">
        <f>COUNTIF(D2:E2,"6B")</f>
        <v>1</v>
      </c>
      <c r="O2" s="1"/>
      <c r="P2" s="1"/>
      <c r="Q2" s="1"/>
      <c r="R2" s="1"/>
    </row>
    <row r="3" spans="1:18" ht="18" x14ac:dyDescent="0.2">
      <c r="A3" t="s">
        <v>14</v>
      </c>
      <c r="B3" t="s">
        <v>9</v>
      </c>
      <c r="C3" t="s">
        <v>8</v>
      </c>
      <c r="D3" t="s">
        <v>10</v>
      </c>
      <c r="E3" t="s">
        <v>15</v>
      </c>
      <c r="F3" t="s">
        <v>12</v>
      </c>
      <c r="G3" t="s">
        <v>16</v>
      </c>
      <c r="H3">
        <v>17.6373</v>
      </c>
      <c r="I3">
        <v>64.260000000000005</v>
      </c>
      <c r="J3">
        <v>29.63</v>
      </c>
      <c r="K3">
        <v>81.709999999999994</v>
      </c>
      <c r="L3">
        <v>91.06</v>
      </c>
      <c r="M3" t="str">
        <f>VLOOKUP($A3,'[1]All donor summary'!$C$2:$D$700,2,0)</f>
        <v>CC</v>
      </c>
      <c r="N3" s="3">
        <f t="shared" ref="N3:N48" si="0">COUNTIF(D3:E3,"6B")</f>
        <v>1</v>
      </c>
      <c r="O3" s="1"/>
      <c r="P3" s="1"/>
      <c r="Q3" s="1"/>
      <c r="R3" s="1"/>
    </row>
    <row r="4" spans="1:18" ht="18" x14ac:dyDescent="0.2">
      <c r="A4" t="s">
        <v>17</v>
      </c>
      <c r="B4" t="s">
        <v>8</v>
      </c>
      <c r="C4" t="s">
        <v>18</v>
      </c>
      <c r="D4" t="s">
        <v>10</v>
      </c>
      <c r="E4" t="s">
        <v>19</v>
      </c>
      <c r="F4" t="s">
        <v>12</v>
      </c>
      <c r="G4" t="s">
        <v>16</v>
      </c>
      <c r="H4">
        <v>18.876799999999999</v>
      </c>
      <c r="I4">
        <v>57.44</v>
      </c>
      <c r="J4">
        <v>17.34</v>
      </c>
      <c r="K4">
        <v>81.05</v>
      </c>
      <c r="L4">
        <v>90.88</v>
      </c>
      <c r="M4" t="str">
        <f>VLOOKUP($A4,'[1]All donor summary'!$C$2:$D$700,2,0)</f>
        <v>TC</v>
      </c>
      <c r="N4" s="3">
        <f t="shared" si="0"/>
        <v>1</v>
      </c>
      <c r="O4" s="1"/>
      <c r="P4" s="1"/>
      <c r="Q4" s="1"/>
      <c r="R4" s="1"/>
    </row>
    <row r="5" spans="1:18" ht="18" x14ac:dyDescent="0.2">
      <c r="A5" t="s">
        <v>20</v>
      </c>
      <c r="B5" t="s">
        <v>9</v>
      </c>
      <c r="C5" t="s">
        <v>18</v>
      </c>
      <c r="D5" t="s">
        <v>21</v>
      </c>
      <c r="E5" t="s">
        <v>19</v>
      </c>
      <c r="F5" t="s">
        <v>12</v>
      </c>
      <c r="G5" t="s">
        <v>12</v>
      </c>
      <c r="H5">
        <v>24.781099999999999</v>
      </c>
      <c r="I5">
        <v>58.07</v>
      </c>
      <c r="J5">
        <v>23.65</v>
      </c>
      <c r="K5">
        <v>75.44</v>
      </c>
      <c r="L5">
        <v>106.44</v>
      </c>
      <c r="M5" t="str">
        <f>VLOOKUP($A5,'[1]All donor summary'!$C$2:$D$700,2,0)</f>
        <v>TT</v>
      </c>
      <c r="N5" s="3">
        <f t="shared" si="0"/>
        <v>0</v>
      </c>
      <c r="O5" s="1"/>
      <c r="P5" s="1"/>
      <c r="Q5" s="1"/>
      <c r="R5" s="1"/>
    </row>
    <row r="6" spans="1:18" ht="18" x14ac:dyDescent="0.2">
      <c r="A6" t="s">
        <v>22</v>
      </c>
      <c r="B6" t="s">
        <v>8</v>
      </c>
      <c r="C6" t="s">
        <v>8</v>
      </c>
      <c r="D6" t="s">
        <v>15</v>
      </c>
      <c r="E6" t="s">
        <v>15</v>
      </c>
      <c r="F6" t="s">
        <v>12</v>
      </c>
      <c r="G6" t="s">
        <v>12</v>
      </c>
      <c r="H6">
        <v>29.433800000000002</v>
      </c>
      <c r="I6">
        <v>73.319999999999993</v>
      </c>
      <c r="J6">
        <v>29.47</v>
      </c>
      <c r="K6">
        <v>83.69</v>
      </c>
      <c r="L6">
        <v>72.77</v>
      </c>
      <c r="M6" t="str">
        <f>VLOOKUP($A6,'[1]All donor summary'!$C$2:$D$700,2,0)</f>
        <v>TT</v>
      </c>
      <c r="N6" s="3">
        <f t="shared" si="0"/>
        <v>0</v>
      </c>
      <c r="O6" s="1"/>
      <c r="P6" s="1"/>
      <c r="Q6" s="1"/>
      <c r="R6" s="1"/>
    </row>
    <row r="7" spans="1:18" ht="18" x14ac:dyDescent="0.2">
      <c r="A7" t="s">
        <v>23</v>
      </c>
      <c r="B7" t="s">
        <v>18</v>
      </c>
      <c r="C7" t="s">
        <v>18</v>
      </c>
      <c r="D7" t="s">
        <v>15</v>
      </c>
      <c r="E7" t="s">
        <v>24</v>
      </c>
      <c r="F7" t="s">
        <v>12</v>
      </c>
      <c r="G7" t="s">
        <v>12</v>
      </c>
      <c r="H7">
        <v>26.020600000000002</v>
      </c>
      <c r="I7">
        <v>52.67</v>
      </c>
      <c r="J7">
        <v>24.82</v>
      </c>
      <c r="K7">
        <v>72.790000000000006</v>
      </c>
      <c r="L7">
        <v>55.69</v>
      </c>
      <c r="M7" t="str">
        <f>VLOOKUP($A7,'[1]All donor summary'!$C$2:$D$700,2,0)</f>
        <v>TT</v>
      </c>
      <c r="N7" s="3">
        <f t="shared" si="0"/>
        <v>0</v>
      </c>
      <c r="O7" s="1"/>
      <c r="P7" s="1"/>
      <c r="Q7" s="1"/>
      <c r="R7" s="1"/>
    </row>
    <row r="8" spans="1:18" ht="18" x14ac:dyDescent="0.2">
      <c r="A8" t="s">
        <v>25</v>
      </c>
      <c r="B8" t="s">
        <v>8</v>
      </c>
      <c r="C8" t="s">
        <v>9</v>
      </c>
      <c r="D8" t="s">
        <v>19</v>
      </c>
      <c r="E8" t="s">
        <v>15</v>
      </c>
      <c r="F8" t="s">
        <v>26</v>
      </c>
      <c r="G8" t="s">
        <v>12</v>
      </c>
      <c r="H8">
        <v>23.778300000000002</v>
      </c>
      <c r="I8">
        <v>83.59</v>
      </c>
      <c r="J8">
        <v>38.56</v>
      </c>
      <c r="K8">
        <v>86.85</v>
      </c>
      <c r="L8">
        <v>90.76</v>
      </c>
      <c r="M8" t="str">
        <f>VLOOKUP($A8,'[1]All donor summary'!$C$2:$D$700,2,0)</f>
        <v>TT</v>
      </c>
      <c r="N8" s="3">
        <f t="shared" si="0"/>
        <v>0</v>
      </c>
      <c r="O8" s="1"/>
      <c r="P8" s="1"/>
      <c r="Q8" s="1"/>
      <c r="R8" s="1"/>
    </row>
    <row r="9" spans="1:18" ht="18" x14ac:dyDescent="0.2">
      <c r="A9" t="s">
        <v>27</v>
      </c>
      <c r="B9" t="s">
        <v>8</v>
      </c>
      <c r="C9" t="s">
        <v>9</v>
      </c>
      <c r="D9" t="s">
        <v>15</v>
      </c>
      <c r="E9" t="s">
        <v>15</v>
      </c>
      <c r="F9" t="s">
        <v>26</v>
      </c>
      <c r="G9" t="s">
        <v>16</v>
      </c>
      <c r="H9">
        <v>18.707999999999998</v>
      </c>
      <c r="I9">
        <v>58.08</v>
      </c>
      <c r="J9">
        <v>26.52</v>
      </c>
      <c r="K9">
        <v>78.66</v>
      </c>
      <c r="L9">
        <v>92.58</v>
      </c>
      <c r="M9" t="str">
        <f>VLOOKUP($A9,'[1]All donor summary'!$C$2:$D$700,2,0)</f>
        <v>TC</v>
      </c>
      <c r="N9" s="3">
        <f t="shared" si="0"/>
        <v>0</v>
      </c>
      <c r="O9" s="1"/>
      <c r="P9" s="1"/>
      <c r="Q9" s="1"/>
      <c r="R9" s="1"/>
    </row>
    <row r="10" spans="1:18" ht="18" x14ac:dyDescent="0.2">
      <c r="A10" t="s">
        <v>28</v>
      </c>
      <c r="B10" t="s">
        <v>8</v>
      </c>
      <c r="C10" t="s">
        <v>18</v>
      </c>
      <c r="D10" t="s">
        <v>10</v>
      </c>
      <c r="E10" t="s">
        <v>19</v>
      </c>
      <c r="F10" t="s">
        <v>16</v>
      </c>
      <c r="G10" t="s">
        <v>12</v>
      </c>
      <c r="H10">
        <v>18.876799999999999</v>
      </c>
      <c r="I10">
        <v>62.68</v>
      </c>
      <c r="J10">
        <v>24.14</v>
      </c>
      <c r="K10">
        <v>79.569999999999993</v>
      </c>
      <c r="L10">
        <v>114.79</v>
      </c>
      <c r="M10" t="str">
        <f>VLOOKUP($A10,'[1]All donor summary'!$C$2:$D$700,2,0)</f>
        <v>TT</v>
      </c>
      <c r="N10" s="3">
        <f t="shared" si="0"/>
        <v>1</v>
      </c>
      <c r="O10" s="1"/>
      <c r="P10" s="1"/>
      <c r="Q10" s="1"/>
      <c r="R10" s="1"/>
    </row>
    <row r="11" spans="1:18" ht="18" x14ac:dyDescent="0.2">
      <c r="A11" t="s">
        <v>29</v>
      </c>
      <c r="B11" t="s">
        <v>8</v>
      </c>
      <c r="C11" t="s">
        <v>9</v>
      </c>
      <c r="D11" t="s">
        <v>21</v>
      </c>
      <c r="E11" t="s">
        <v>19</v>
      </c>
      <c r="F11" t="s">
        <v>12</v>
      </c>
      <c r="G11" t="s">
        <v>26</v>
      </c>
      <c r="H11">
        <v>23.778300000000002</v>
      </c>
      <c r="I11">
        <v>66.53</v>
      </c>
      <c r="J11">
        <v>36.08</v>
      </c>
      <c r="K11">
        <v>84.28</v>
      </c>
      <c r="L11">
        <v>91.03</v>
      </c>
      <c r="M11" t="str">
        <f>VLOOKUP($A11,'[1]All donor summary'!$C$2:$D$700,2,0)</f>
        <v>TT</v>
      </c>
      <c r="N11" s="3">
        <f t="shared" si="0"/>
        <v>0</v>
      </c>
      <c r="O11" s="1"/>
      <c r="P11" s="1"/>
      <c r="Q11" s="1"/>
      <c r="R11" s="1"/>
    </row>
    <row r="12" spans="1:18" ht="18" x14ac:dyDescent="0.2">
      <c r="A12" t="s">
        <v>30</v>
      </c>
      <c r="B12" t="s">
        <v>8</v>
      </c>
      <c r="C12" t="s">
        <v>18</v>
      </c>
      <c r="D12" t="s">
        <v>10</v>
      </c>
      <c r="E12" t="s">
        <v>21</v>
      </c>
      <c r="F12" t="s">
        <v>12</v>
      </c>
      <c r="G12" t="s">
        <v>16</v>
      </c>
      <c r="H12">
        <v>18.876799999999999</v>
      </c>
      <c r="I12">
        <v>73.98</v>
      </c>
      <c r="J12">
        <v>28.89</v>
      </c>
      <c r="K12">
        <v>85.18</v>
      </c>
      <c r="L12">
        <v>75.72</v>
      </c>
      <c r="M12" t="str">
        <f>VLOOKUP($A12,'[1]All donor summary'!$C$2:$D$700,2,0)</f>
        <v>TT</v>
      </c>
      <c r="N12" s="3">
        <f t="shared" si="0"/>
        <v>1</v>
      </c>
      <c r="O12" s="1"/>
      <c r="P12" s="1"/>
      <c r="Q12" s="1"/>
      <c r="R12" s="1"/>
    </row>
    <row r="13" spans="1:18" ht="18" x14ac:dyDescent="0.2">
      <c r="A13" t="s">
        <v>31</v>
      </c>
      <c r="B13" t="s">
        <v>8</v>
      </c>
      <c r="C13" t="s">
        <v>8</v>
      </c>
      <c r="D13" t="s">
        <v>15</v>
      </c>
      <c r="E13" t="s">
        <v>19</v>
      </c>
      <c r="F13" t="s">
        <v>12</v>
      </c>
      <c r="G13" t="s">
        <v>12</v>
      </c>
      <c r="H13">
        <v>29.433800000000002</v>
      </c>
      <c r="I13">
        <v>74.3</v>
      </c>
      <c r="J13">
        <v>43.27</v>
      </c>
      <c r="K13">
        <v>94.74</v>
      </c>
      <c r="L13">
        <v>93.19</v>
      </c>
      <c r="M13" t="str">
        <f>VLOOKUP($A13,'[1]All donor summary'!$C$2:$D$700,2,0)</f>
        <v>TC</v>
      </c>
      <c r="N13" s="3">
        <f t="shared" si="0"/>
        <v>0</v>
      </c>
      <c r="O13" s="1"/>
      <c r="P13" s="1"/>
      <c r="Q13" s="1"/>
      <c r="R13" s="1"/>
    </row>
    <row r="14" spans="1:18" ht="18" x14ac:dyDescent="0.2">
      <c r="A14" t="s">
        <v>32</v>
      </c>
      <c r="B14" t="s">
        <v>8</v>
      </c>
      <c r="C14" t="s">
        <v>18</v>
      </c>
      <c r="D14" t="s">
        <v>10</v>
      </c>
      <c r="E14" t="s">
        <v>15</v>
      </c>
      <c r="F14" t="s">
        <v>12</v>
      </c>
      <c r="G14" t="s">
        <v>16</v>
      </c>
      <c r="H14">
        <v>18.876799999999999</v>
      </c>
      <c r="I14">
        <v>55.7</v>
      </c>
      <c r="J14">
        <v>29.96</v>
      </c>
      <c r="K14">
        <v>83.2</v>
      </c>
      <c r="L14">
        <v>80.03</v>
      </c>
      <c r="M14" t="str">
        <f>VLOOKUP($A14,'[1]All donor summary'!$C$2:$D$700,2,0)</f>
        <v>TC</v>
      </c>
      <c r="N14" s="3">
        <f t="shared" si="0"/>
        <v>1</v>
      </c>
      <c r="O14" s="1"/>
      <c r="P14" s="1"/>
      <c r="Q14" s="1"/>
      <c r="R14" s="1"/>
    </row>
    <row r="15" spans="1:18" ht="18" x14ac:dyDescent="0.2">
      <c r="A15" t="s">
        <v>33</v>
      </c>
      <c r="B15" t="s">
        <v>8</v>
      </c>
      <c r="C15" t="s">
        <v>9</v>
      </c>
      <c r="D15" t="s">
        <v>15</v>
      </c>
      <c r="E15" t="s">
        <v>15</v>
      </c>
      <c r="F15" t="s">
        <v>26</v>
      </c>
      <c r="G15" t="s">
        <v>16</v>
      </c>
      <c r="H15">
        <v>18.707999999999998</v>
      </c>
      <c r="I15">
        <v>53.24</v>
      </c>
      <c r="J15">
        <v>26.46</v>
      </c>
      <c r="K15">
        <v>74.13</v>
      </c>
      <c r="L15">
        <v>79.91</v>
      </c>
      <c r="M15" t="str">
        <f>VLOOKUP($A15,'[1]All donor summary'!$C$2:$D$700,2,0)</f>
        <v>TC</v>
      </c>
      <c r="N15" s="3">
        <f t="shared" si="0"/>
        <v>0</v>
      </c>
      <c r="O15" s="1"/>
      <c r="P15" s="1"/>
      <c r="Q15" s="1"/>
      <c r="R15" s="1"/>
    </row>
    <row r="16" spans="1:18" ht="18" x14ac:dyDescent="0.2">
      <c r="A16" t="s">
        <v>34</v>
      </c>
      <c r="B16" t="s">
        <v>8</v>
      </c>
      <c r="C16" t="s">
        <v>9</v>
      </c>
      <c r="D16" t="s">
        <v>10</v>
      </c>
      <c r="E16" t="s">
        <v>11</v>
      </c>
      <c r="F16" t="s">
        <v>16</v>
      </c>
      <c r="G16" t="s">
        <v>16</v>
      </c>
      <c r="H16">
        <v>12.567</v>
      </c>
      <c r="I16">
        <v>39.03</v>
      </c>
      <c r="J16">
        <v>15.53</v>
      </c>
      <c r="K16">
        <v>56.05</v>
      </c>
      <c r="L16">
        <v>62.66</v>
      </c>
      <c r="M16" t="str">
        <f>VLOOKUP($A16,'[1]All donor summary'!$C$2:$D$700,2,0)</f>
        <v>TC</v>
      </c>
      <c r="N16" s="3">
        <f t="shared" si="0"/>
        <v>1</v>
      </c>
      <c r="O16" s="1"/>
      <c r="P16" s="1"/>
      <c r="Q16" s="1"/>
      <c r="R16" s="1"/>
    </row>
    <row r="17" spans="1:18" ht="18" x14ac:dyDescent="0.2">
      <c r="A17" t="s">
        <v>35</v>
      </c>
      <c r="B17" t="s">
        <v>8</v>
      </c>
      <c r="C17" t="s">
        <v>9</v>
      </c>
      <c r="D17" t="s">
        <v>19</v>
      </c>
      <c r="E17" t="s">
        <v>15</v>
      </c>
      <c r="F17" t="s">
        <v>26</v>
      </c>
      <c r="G17" t="s">
        <v>12</v>
      </c>
      <c r="H17">
        <v>23.778300000000002</v>
      </c>
      <c r="I17">
        <v>78.2</v>
      </c>
      <c r="J17">
        <v>36.340000000000003</v>
      </c>
      <c r="K17">
        <v>93.16</v>
      </c>
      <c r="L17">
        <v>93.43</v>
      </c>
      <c r="M17" t="str">
        <f>VLOOKUP($A17,'[1]All donor summary'!$C$2:$D$700,2,0)</f>
        <v>TT</v>
      </c>
      <c r="N17" s="3">
        <f t="shared" si="0"/>
        <v>0</v>
      </c>
      <c r="O17" s="1"/>
      <c r="P17" s="1"/>
      <c r="Q17" s="1"/>
      <c r="R17" s="1"/>
    </row>
    <row r="18" spans="1:18" ht="18" x14ac:dyDescent="0.2">
      <c r="A18" t="s">
        <v>36</v>
      </c>
      <c r="B18" t="s">
        <v>8</v>
      </c>
      <c r="C18" t="s">
        <v>18</v>
      </c>
      <c r="D18" t="s">
        <v>19</v>
      </c>
      <c r="E18" t="s">
        <v>19</v>
      </c>
      <c r="F18" t="s">
        <v>12</v>
      </c>
      <c r="G18" t="s">
        <v>12</v>
      </c>
      <c r="H18">
        <v>27.7272</v>
      </c>
      <c r="I18">
        <v>73.39</v>
      </c>
      <c r="J18">
        <v>19.18</v>
      </c>
      <c r="K18">
        <v>86.91</v>
      </c>
      <c r="L18">
        <v>90.05</v>
      </c>
      <c r="M18" t="str">
        <f>VLOOKUP($A18,'[1]All donor summary'!$C$2:$D$700,2,0)</f>
        <v>TT</v>
      </c>
      <c r="N18" s="3">
        <f t="shared" si="0"/>
        <v>0</v>
      </c>
      <c r="O18" s="1"/>
      <c r="P18" s="1"/>
      <c r="Q18" s="1"/>
      <c r="R18" s="1"/>
    </row>
    <row r="19" spans="1:18" ht="18" x14ac:dyDescent="0.2">
      <c r="A19" t="s">
        <v>37</v>
      </c>
      <c r="B19" t="s">
        <v>8</v>
      </c>
      <c r="C19" t="s">
        <v>18</v>
      </c>
      <c r="D19" t="s">
        <v>19</v>
      </c>
      <c r="E19" t="s">
        <v>19</v>
      </c>
      <c r="F19" t="s">
        <v>12</v>
      </c>
      <c r="G19" t="s">
        <v>12</v>
      </c>
      <c r="H19">
        <v>27.7272</v>
      </c>
      <c r="I19">
        <v>64.09</v>
      </c>
      <c r="J19">
        <v>36.049999999999997</v>
      </c>
      <c r="K19">
        <v>63.97</v>
      </c>
      <c r="L19">
        <v>62.97</v>
      </c>
      <c r="M19" t="str">
        <f>VLOOKUP($A19,'[1]All donor summary'!$C$2:$D$700,2,0)</f>
        <v>TT</v>
      </c>
      <c r="N19" s="3">
        <f t="shared" si="0"/>
        <v>0</v>
      </c>
      <c r="O19" s="1"/>
      <c r="P19" s="1"/>
      <c r="Q19" s="1"/>
      <c r="R19" s="1"/>
    </row>
    <row r="20" spans="1:18" ht="18" x14ac:dyDescent="0.2">
      <c r="A20" t="s">
        <v>38</v>
      </c>
      <c r="B20" t="s">
        <v>8</v>
      </c>
      <c r="C20" t="s">
        <v>18</v>
      </c>
      <c r="D20" t="s">
        <v>15</v>
      </c>
      <c r="E20" t="s">
        <v>24</v>
      </c>
      <c r="F20" t="s">
        <v>12</v>
      </c>
      <c r="G20" t="s">
        <v>26</v>
      </c>
      <c r="H20">
        <v>25.017800000000001</v>
      </c>
      <c r="I20">
        <v>69.41</v>
      </c>
      <c r="J20">
        <v>31.8</v>
      </c>
      <c r="K20">
        <v>84.51</v>
      </c>
      <c r="L20">
        <v>64.459999999999994</v>
      </c>
      <c r="M20" t="str">
        <f>VLOOKUP($A20,'[1]All donor summary'!$C$2:$D$700,2,0)</f>
        <v>CC</v>
      </c>
      <c r="N20" s="3">
        <f t="shared" si="0"/>
        <v>0</v>
      </c>
      <c r="O20" s="1"/>
      <c r="P20" s="1"/>
      <c r="Q20" s="1"/>
      <c r="R20" s="1"/>
    </row>
    <row r="21" spans="1:18" ht="18" x14ac:dyDescent="0.2">
      <c r="A21" t="s">
        <v>39</v>
      </c>
      <c r="B21" t="s">
        <v>9</v>
      </c>
      <c r="C21" t="s">
        <v>8</v>
      </c>
      <c r="D21" t="s">
        <v>19</v>
      </c>
      <c r="E21" t="s">
        <v>19</v>
      </c>
      <c r="F21" t="s">
        <v>12</v>
      </c>
      <c r="G21" t="s">
        <v>12</v>
      </c>
      <c r="H21">
        <v>26.4877</v>
      </c>
      <c r="I21">
        <v>62.74</v>
      </c>
      <c r="J21">
        <v>30.86</v>
      </c>
      <c r="K21">
        <v>76.88</v>
      </c>
      <c r="L21">
        <v>58.35</v>
      </c>
      <c r="M21" t="str">
        <f>VLOOKUP($A21,'[1]All donor summary'!$C$2:$D$700,2,0)</f>
        <v>TT</v>
      </c>
      <c r="N21" s="3">
        <f t="shared" si="0"/>
        <v>0</v>
      </c>
      <c r="O21" s="1"/>
      <c r="P21" s="1"/>
      <c r="Q21" s="1"/>
      <c r="R21" s="1"/>
    </row>
    <row r="22" spans="1:18" ht="18" x14ac:dyDescent="0.2">
      <c r="A22" t="s">
        <v>40</v>
      </c>
      <c r="B22" t="s">
        <v>8</v>
      </c>
      <c r="C22" t="s">
        <v>18</v>
      </c>
      <c r="D22" t="s">
        <v>21</v>
      </c>
      <c r="E22" t="s">
        <v>19</v>
      </c>
      <c r="F22" t="s">
        <v>12</v>
      </c>
      <c r="G22" t="s">
        <v>12</v>
      </c>
      <c r="H22">
        <v>27.7272</v>
      </c>
      <c r="I22">
        <v>75.37</v>
      </c>
      <c r="J22">
        <v>44.86</v>
      </c>
      <c r="K22">
        <v>84.57</v>
      </c>
      <c r="L22">
        <v>65.44</v>
      </c>
      <c r="M22" t="str">
        <f>VLOOKUP($A22,'[1]All donor summary'!$C$2:$D$700,2,0)</f>
        <v>TT</v>
      </c>
      <c r="N22" s="3">
        <f t="shared" si="0"/>
        <v>0</v>
      </c>
      <c r="O22" s="1"/>
      <c r="P22" s="1"/>
      <c r="Q22" s="1"/>
      <c r="R22" s="1"/>
    </row>
    <row r="23" spans="1:18" ht="18" x14ac:dyDescent="0.2">
      <c r="A23" t="s">
        <v>41</v>
      </c>
      <c r="B23" t="s">
        <v>8</v>
      </c>
      <c r="C23" t="s">
        <v>9</v>
      </c>
      <c r="D23" t="s">
        <v>10</v>
      </c>
      <c r="E23" t="s">
        <v>15</v>
      </c>
      <c r="F23" t="s">
        <v>12</v>
      </c>
      <c r="G23" t="s">
        <v>16</v>
      </c>
      <c r="H23">
        <v>17.6373</v>
      </c>
      <c r="I23">
        <v>71.489999999999995</v>
      </c>
      <c r="J23">
        <v>36.47</v>
      </c>
      <c r="K23">
        <v>81.239999999999995</v>
      </c>
      <c r="L23">
        <v>79.040000000000006</v>
      </c>
      <c r="M23" t="str">
        <f>VLOOKUP($A23,'[1]All donor summary'!$C$2:$D$700,2,0)</f>
        <v>TT</v>
      </c>
      <c r="N23" s="3">
        <f t="shared" si="0"/>
        <v>1</v>
      </c>
      <c r="O23" s="1"/>
      <c r="P23" s="1"/>
      <c r="Q23" s="1"/>
      <c r="R23" s="1"/>
    </row>
    <row r="24" spans="1:18" ht="18" x14ac:dyDescent="0.2">
      <c r="A24" t="s">
        <v>42</v>
      </c>
      <c r="B24" t="s">
        <v>8</v>
      </c>
      <c r="C24" t="s">
        <v>9</v>
      </c>
      <c r="D24" t="s">
        <v>10</v>
      </c>
      <c r="E24" t="s">
        <v>19</v>
      </c>
      <c r="F24" t="s">
        <v>16</v>
      </c>
      <c r="G24" t="s">
        <v>12</v>
      </c>
      <c r="H24">
        <v>17.6373</v>
      </c>
      <c r="I24">
        <v>48.31</v>
      </c>
      <c r="J24">
        <v>28.61</v>
      </c>
      <c r="K24">
        <v>67.239999999999995</v>
      </c>
      <c r="L24">
        <v>60.04</v>
      </c>
      <c r="M24" t="str">
        <f>VLOOKUP($A24,'[1]All donor summary'!$C$2:$D$700,2,0)</f>
        <v>TT</v>
      </c>
      <c r="N24" s="3">
        <f t="shared" si="0"/>
        <v>1</v>
      </c>
      <c r="O24" s="1"/>
      <c r="P24" s="1"/>
      <c r="Q24" s="1"/>
      <c r="R24" s="1"/>
    </row>
    <row r="25" spans="1:18" ht="18" x14ac:dyDescent="0.2">
      <c r="A25" t="s">
        <v>43</v>
      </c>
      <c r="B25" t="s">
        <v>8</v>
      </c>
      <c r="C25" t="s">
        <v>9</v>
      </c>
      <c r="D25" t="s">
        <v>21</v>
      </c>
      <c r="E25" t="s">
        <v>11</v>
      </c>
      <c r="F25" t="s">
        <v>12</v>
      </c>
      <c r="G25" t="s">
        <v>12</v>
      </c>
      <c r="H25">
        <v>26.4877</v>
      </c>
      <c r="I25">
        <v>67.08</v>
      </c>
      <c r="J25">
        <v>32.549999999999997</v>
      </c>
      <c r="K25">
        <v>85.9</v>
      </c>
      <c r="L25">
        <v>64.400000000000006</v>
      </c>
      <c r="M25" t="str">
        <f>VLOOKUP($A25,'[1]All donor summary'!$C$2:$D$700,2,0)</f>
        <v>TT</v>
      </c>
      <c r="N25" s="3">
        <f t="shared" si="0"/>
        <v>0</v>
      </c>
      <c r="O25" s="1"/>
      <c r="P25" s="1"/>
      <c r="Q25" s="1"/>
      <c r="R25" s="1"/>
    </row>
    <row r="26" spans="1:18" ht="18" x14ac:dyDescent="0.2">
      <c r="A26" t="s">
        <v>44</v>
      </c>
      <c r="B26" t="s">
        <v>9</v>
      </c>
      <c r="C26" t="s">
        <v>8</v>
      </c>
      <c r="D26" t="s">
        <v>10</v>
      </c>
      <c r="E26" t="s">
        <v>10</v>
      </c>
      <c r="F26" t="s">
        <v>16</v>
      </c>
      <c r="G26" t="s">
        <v>16</v>
      </c>
      <c r="H26">
        <v>8.7868999999999993</v>
      </c>
      <c r="I26">
        <v>54.08</v>
      </c>
      <c r="J26">
        <v>32.39</v>
      </c>
      <c r="K26">
        <v>76.61</v>
      </c>
      <c r="L26">
        <v>58.87</v>
      </c>
      <c r="M26" t="str">
        <f>VLOOKUP($A26,'[1]All donor summary'!$C$2:$D$700,2,0)</f>
        <v>TT</v>
      </c>
      <c r="N26" s="3">
        <f t="shared" si="0"/>
        <v>2</v>
      </c>
      <c r="O26" s="1"/>
      <c r="P26" s="1"/>
      <c r="Q26" s="1"/>
      <c r="R26" s="1"/>
    </row>
    <row r="27" spans="1:18" ht="18" x14ac:dyDescent="0.2">
      <c r="A27" t="s">
        <v>45</v>
      </c>
      <c r="B27" t="s">
        <v>8</v>
      </c>
      <c r="C27" t="s">
        <v>9</v>
      </c>
      <c r="D27" t="s">
        <v>10</v>
      </c>
      <c r="E27" t="s">
        <v>10</v>
      </c>
      <c r="F27" t="s">
        <v>16</v>
      </c>
      <c r="G27" t="s">
        <v>16</v>
      </c>
      <c r="H27">
        <v>8.7868999999999993</v>
      </c>
      <c r="I27">
        <v>45.06</v>
      </c>
      <c r="J27">
        <v>18.27</v>
      </c>
      <c r="K27">
        <v>74.77</v>
      </c>
      <c r="L27">
        <v>79.069999999999993</v>
      </c>
      <c r="M27" t="str">
        <f>VLOOKUP($A27,'[1]All donor summary'!$C$2:$D$700,2,0)</f>
        <v>TC</v>
      </c>
      <c r="N27" s="3">
        <f t="shared" si="0"/>
        <v>2</v>
      </c>
      <c r="O27" s="1"/>
      <c r="P27" s="1"/>
      <c r="Q27" s="1"/>
      <c r="R27" s="1"/>
    </row>
    <row r="28" spans="1:18" ht="18" x14ac:dyDescent="0.2">
      <c r="A28" t="s">
        <v>46</v>
      </c>
      <c r="B28" t="s">
        <v>8</v>
      </c>
      <c r="C28" t="s">
        <v>18</v>
      </c>
      <c r="D28" t="s">
        <v>15</v>
      </c>
      <c r="E28" t="s">
        <v>19</v>
      </c>
      <c r="F28" t="s">
        <v>12</v>
      </c>
      <c r="G28" t="s">
        <v>12</v>
      </c>
      <c r="H28">
        <v>27.7272</v>
      </c>
      <c r="I28">
        <v>75.16</v>
      </c>
      <c r="J28">
        <v>49.2</v>
      </c>
      <c r="K28">
        <v>84.57</v>
      </c>
      <c r="L28">
        <v>65.17</v>
      </c>
      <c r="M28" t="str">
        <f>VLOOKUP($A28,'[1]All donor summary'!$C$2:$D$700,2,0)</f>
        <v>TT</v>
      </c>
      <c r="N28" s="3">
        <f t="shared" si="0"/>
        <v>0</v>
      </c>
      <c r="O28" s="1"/>
      <c r="P28" s="1"/>
      <c r="Q28" s="1"/>
      <c r="R28" s="1"/>
    </row>
    <row r="29" spans="1:18" ht="18" x14ac:dyDescent="0.2">
      <c r="A29" t="s">
        <v>47</v>
      </c>
      <c r="B29" t="s">
        <v>8</v>
      </c>
      <c r="C29" t="s">
        <v>9</v>
      </c>
      <c r="D29" t="s">
        <v>19</v>
      </c>
      <c r="E29" t="s">
        <v>15</v>
      </c>
      <c r="F29" t="s">
        <v>12</v>
      </c>
      <c r="G29" t="s">
        <v>12</v>
      </c>
      <c r="H29">
        <v>26.4877</v>
      </c>
      <c r="I29">
        <v>82.09</v>
      </c>
      <c r="J29">
        <v>46.38</v>
      </c>
      <c r="K29">
        <v>92.4</v>
      </c>
      <c r="L29">
        <v>83.78</v>
      </c>
      <c r="M29" t="str">
        <f>VLOOKUP($A29,'[1]All donor summary'!$C$2:$D$700,2,0)</f>
        <v>TT</v>
      </c>
      <c r="N29" s="3">
        <f t="shared" si="0"/>
        <v>0</v>
      </c>
      <c r="O29" s="1"/>
      <c r="P29" s="1"/>
      <c r="Q29" s="1"/>
      <c r="R29" s="1"/>
    </row>
    <row r="30" spans="1:18" ht="18" x14ac:dyDescent="0.2">
      <c r="A30" t="s">
        <v>48</v>
      </c>
      <c r="B30" t="s">
        <v>9</v>
      </c>
      <c r="C30" t="s">
        <v>8</v>
      </c>
      <c r="D30" t="s">
        <v>15</v>
      </c>
      <c r="E30" t="s">
        <v>11</v>
      </c>
      <c r="F30" t="s">
        <v>12</v>
      </c>
      <c r="G30" t="s">
        <v>12</v>
      </c>
      <c r="H30">
        <v>26.4877</v>
      </c>
      <c r="I30">
        <v>52.75</v>
      </c>
      <c r="J30">
        <v>40.03</v>
      </c>
      <c r="K30">
        <v>70.03</v>
      </c>
      <c r="L30">
        <v>73.180000000000007</v>
      </c>
      <c r="M30" t="str">
        <f>VLOOKUP($A30,'[1]All donor summary'!$C$2:$D$700,2,0)</f>
        <v>TC</v>
      </c>
      <c r="N30" s="3">
        <f t="shared" si="0"/>
        <v>0</v>
      </c>
      <c r="O30" s="1"/>
      <c r="P30" s="1"/>
      <c r="Q30" s="1"/>
      <c r="R30" s="1"/>
    </row>
    <row r="31" spans="1:18" ht="18" x14ac:dyDescent="0.2">
      <c r="A31" t="s">
        <v>49</v>
      </c>
      <c r="B31" t="s">
        <v>9</v>
      </c>
      <c r="C31" t="s">
        <v>8</v>
      </c>
      <c r="D31" t="s">
        <v>10</v>
      </c>
      <c r="E31" t="s">
        <v>19</v>
      </c>
      <c r="F31" t="s">
        <v>16</v>
      </c>
      <c r="G31" t="s">
        <v>16</v>
      </c>
      <c r="H31">
        <v>12.567</v>
      </c>
      <c r="I31">
        <v>60.45</v>
      </c>
      <c r="J31">
        <v>35.130000000000003</v>
      </c>
      <c r="K31">
        <v>80.11</v>
      </c>
      <c r="L31">
        <v>98.28</v>
      </c>
      <c r="M31" t="str">
        <f>VLOOKUP($A31,'[1]All donor summary'!$C$2:$D$700,2,0)</f>
        <v>CC</v>
      </c>
      <c r="N31" s="3">
        <f t="shared" si="0"/>
        <v>1</v>
      </c>
      <c r="O31" s="1"/>
      <c r="P31" s="1"/>
      <c r="Q31" s="1"/>
      <c r="R31" s="1"/>
    </row>
    <row r="32" spans="1:18" ht="18" x14ac:dyDescent="0.2">
      <c r="A32" t="s">
        <v>50</v>
      </c>
      <c r="B32" t="s">
        <v>9</v>
      </c>
      <c r="C32" t="s">
        <v>9</v>
      </c>
      <c r="D32" t="s">
        <v>21</v>
      </c>
      <c r="E32" t="s">
        <v>11</v>
      </c>
      <c r="F32" t="s">
        <v>12</v>
      </c>
      <c r="G32" t="s">
        <v>16</v>
      </c>
      <c r="H32">
        <v>18.471299999999999</v>
      </c>
      <c r="I32">
        <v>66</v>
      </c>
      <c r="J32">
        <v>44.91</v>
      </c>
      <c r="K32">
        <v>84.98</v>
      </c>
      <c r="L32">
        <v>123.84</v>
      </c>
      <c r="M32" t="str">
        <f>VLOOKUP($A32,'[1]All donor summary'!$C$2:$D$700,2,0)</f>
        <v>CC</v>
      </c>
      <c r="N32" s="3">
        <f t="shared" si="0"/>
        <v>0</v>
      </c>
      <c r="O32" s="1"/>
      <c r="P32" s="1"/>
      <c r="Q32" s="1"/>
      <c r="R32" s="1"/>
    </row>
    <row r="33" spans="1:18" ht="18" x14ac:dyDescent="0.2">
      <c r="A33" t="s">
        <v>51</v>
      </c>
      <c r="B33" t="s">
        <v>9</v>
      </c>
      <c r="C33" t="s">
        <v>9</v>
      </c>
      <c r="D33" t="s">
        <v>15</v>
      </c>
      <c r="E33" t="s">
        <v>15</v>
      </c>
      <c r="F33" t="s">
        <v>12</v>
      </c>
      <c r="G33" t="s">
        <v>16</v>
      </c>
      <c r="H33">
        <v>18.471299999999999</v>
      </c>
      <c r="I33">
        <v>67.63</v>
      </c>
      <c r="J33">
        <v>37.799999999999997</v>
      </c>
      <c r="K33">
        <v>71.77</v>
      </c>
      <c r="L33">
        <v>59.88</v>
      </c>
      <c r="M33" t="str">
        <f>VLOOKUP($A33,'[1]All donor summary'!$C$2:$D$700,2,0)</f>
        <v>TT</v>
      </c>
      <c r="N33" s="3">
        <f t="shared" si="0"/>
        <v>0</v>
      </c>
      <c r="O33" s="1"/>
      <c r="P33" s="1"/>
      <c r="Q33" s="1"/>
      <c r="R33" s="1"/>
    </row>
    <row r="34" spans="1:18" ht="18" x14ac:dyDescent="0.2">
      <c r="A34" t="s">
        <v>52</v>
      </c>
      <c r="B34" t="s">
        <v>8</v>
      </c>
      <c r="C34" t="s">
        <v>9</v>
      </c>
      <c r="D34" t="s">
        <v>19</v>
      </c>
      <c r="E34" t="s">
        <v>19</v>
      </c>
      <c r="F34" t="s">
        <v>12</v>
      </c>
      <c r="G34" t="s">
        <v>26</v>
      </c>
      <c r="H34">
        <v>23.778300000000002</v>
      </c>
      <c r="I34">
        <v>57.71</v>
      </c>
      <c r="J34">
        <v>53.55</v>
      </c>
      <c r="K34">
        <v>62.95</v>
      </c>
      <c r="L34">
        <v>84.45</v>
      </c>
      <c r="M34" t="str">
        <f>VLOOKUP($A34,'[1]All donor summary'!$C$2:$D$700,2,0)</f>
        <v>TT</v>
      </c>
      <c r="N34" s="3">
        <f t="shared" si="0"/>
        <v>0</v>
      </c>
      <c r="O34" s="1"/>
      <c r="P34" s="1"/>
      <c r="Q34" s="1"/>
      <c r="R34" s="1"/>
    </row>
    <row r="35" spans="1:18" ht="18" hidden="1" x14ac:dyDescent="0.2">
      <c r="A35" t="s">
        <v>53</v>
      </c>
      <c r="B35" t="s">
        <v>9</v>
      </c>
      <c r="C35" t="s">
        <v>9</v>
      </c>
      <c r="D35" t="s">
        <v>11</v>
      </c>
      <c r="E35" t="s">
        <v>19</v>
      </c>
      <c r="F35" t="s">
        <v>12</v>
      </c>
      <c r="G35" t="s">
        <v>13</v>
      </c>
      <c r="H35">
        <v>18.471299999999999</v>
      </c>
      <c r="I35">
        <v>56.24</v>
      </c>
      <c r="J35">
        <v>23.95</v>
      </c>
      <c r="K35">
        <v>79.44</v>
      </c>
      <c r="L35">
        <v>82.19</v>
      </c>
      <c r="M35" t="e">
        <f>VLOOKUP($A35,'[1]All donor summary'!$C$2:$D$700,2,0)</f>
        <v>#N/A</v>
      </c>
      <c r="N35" s="3">
        <f t="shared" si="0"/>
        <v>0</v>
      </c>
      <c r="O35" s="1"/>
      <c r="P35" s="1"/>
      <c r="Q35" s="1"/>
      <c r="R35" s="1"/>
    </row>
    <row r="36" spans="1:18" ht="18" x14ac:dyDescent="0.2">
      <c r="A36" t="s">
        <v>54</v>
      </c>
      <c r="B36" t="s">
        <v>9</v>
      </c>
      <c r="C36" t="s">
        <v>18</v>
      </c>
      <c r="D36" t="s">
        <v>21</v>
      </c>
      <c r="E36" t="s">
        <v>15</v>
      </c>
      <c r="F36" t="s">
        <v>12</v>
      </c>
      <c r="G36" t="s">
        <v>12</v>
      </c>
      <c r="H36">
        <v>24.781099999999999</v>
      </c>
      <c r="I36">
        <v>67.25</v>
      </c>
      <c r="J36">
        <v>36.979999999999997</v>
      </c>
      <c r="K36">
        <v>79.319999999999993</v>
      </c>
      <c r="L36">
        <v>87.39</v>
      </c>
      <c r="M36" t="str">
        <f>VLOOKUP($A36,'[1]All donor summary'!$C$2:$D$700,2,0)</f>
        <v>TC</v>
      </c>
      <c r="N36" s="3">
        <f t="shared" si="0"/>
        <v>0</v>
      </c>
      <c r="O36" s="1"/>
      <c r="P36" s="1"/>
      <c r="Q36" s="1"/>
      <c r="R36" s="1"/>
    </row>
    <row r="37" spans="1:18" ht="18" x14ac:dyDescent="0.2">
      <c r="A37" t="s">
        <v>55</v>
      </c>
      <c r="B37" t="s">
        <v>8</v>
      </c>
      <c r="C37" t="s">
        <v>9</v>
      </c>
      <c r="D37" t="s">
        <v>10</v>
      </c>
      <c r="E37" t="s">
        <v>19</v>
      </c>
      <c r="F37" t="s">
        <v>12</v>
      </c>
      <c r="G37" t="s">
        <v>16</v>
      </c>
      <c r="H37">
        <v>17.6373</v>
      </c>
      <c r="I37">
        <v>54.56</v>
      </c>
      <c r="J37">
        <v>27.56</v>
      </c>
      <c r="K37">
        <v>78.94</v>
      </c>
      <c r="L37">
        <v>98.33</v>
      </c>
      <c r="M37" t="str">
        <f>VLOOKUP($A37,'[1]All donor summary'!$C$2:$D$700,2,0)</f>
        <v>CC</v>
      </c>
      <c r="N37" s="3">
        <f t="shared" si="0"/>
        <v>1</v>
      </c>
      <c r="O37" s="1"/>
      <c r="P37" s="1"/>
      <c r="Q37" s="1"/>
      <c r="R37" s="1"/>
    </row>
    <row r="38" spans="1:18" ht="18" x14ac:dyDescent="0.2">
      <c r="A38" t="s">
        <v>56</v>
      </c>
      <c r="B38" t="s">
        <v>9</v>
      </c>
      <c r="C38" t="s">
        <v>9</v>
      </c>
      <c r="D38" t="s">
        <v>10</v>
      </c>
      <c r="E38" t="s">
        <v>10</v>
      </c>
      <c r="F38" t="s">
        <v>16</v>
      </c>
      <c r="G38" t="s">
        <v>16</v>
      </c>
      <c r="H38">
        <v>5.8407999999999998</v>
      </c>
      <c r="I38">
        <v>39.07</v>
      </c>
      <c r="J38">
        <v>15.82</v>
      </c>
      <c r="K38">
        <v>74.459999999999994</v>
      </c>
      <c r="L38">
        <v>43.23</v>
      </c>
      <c r="M38" t="str">
        <f>VLOOKUP($A38,'[1]All donor summary'!$C$2:$D$700,2,0)</f>
        <v>TT</v>
      </c>
      <c r="N38" s="3">
        <f t="shared" si="0"/>
        <v>2</v>
      </c>
      <c r="O38" s="1"/>
      <c r="P38" s="1"/>
      <c r="Q38" s="1"/>
      <c r="R38" s="1"/>
    </row>
    <row r="39" spans="1:18" ht="18" x14ac:dyDescent="0.2">
      <c r="A39" t="s">
        <v>57</v>
      </c>
      <c r="B39" t="s">
        <v>8</v>
      </c>
      <c r="C39" t="s">
        <v>9</v>
      </c>
      <c r="D39" t="s">
        <v>10</v>
      </c>
      <c r="E39" t="s">
        <v>10</v>
      </c>
      <c r="F39" t="s">
        <v>16</v>
      </c>
      <c r="G39" t="s">
        <v>16</v>
      </c>
      <c r="H39">
        <v>8.7868999999999993</v>
      </c>
      <c r="I39">
        <v>43.65</v>
      </c>
      <c r="J39">
        <v>18.02</v>
      </c>
      <c r="K39">
        <v>76.5</v>
      </c>
      <c r="L39">
        <v>64.94</v>
      </c>
      <c r="M39" t="str">
        <f>VLOOKUP($A39,'[1]All donor summary'!$C$2:$D$700,2,0)</f>
        <v>TC</v>
      </c>
      <c r="N39" s="3">
        <f t="shared" si="0"/>
        <v>2</v>
      </c>
      <c r="O39" s="1"/>
      <c r="P39" s="1"/>
      <c r="Q39" s="1"/>
      <c r="R39" s="1"/>
    </row>
    <row r="40" spans="1:18" ht="18" x14ac:dyDescent="0.2">
      <c r="A40" t="s">
        <v>58</v>
      </c>
      <c r="B40" t="s">
        <v>18</v>
      </c>
      <c r="C40" t="s">
        <v>18</v>
      </c>
      <c r="D40" t="s">
        <v>19</v>
      </c>
      <c r="E40" t="s">
        <v>19</v>
      </c>
      <c r="F40" t="s">
        <v>12</v>
      </c>
      <c r="G40" t="s">
        <v>12</v>
      </c>
      <c r="H40">
        <v>26.020600000000002</v>
      </c>
      <c r="I40">
        <v>59.72</v>
      </c>
      <c r="J40">
        <v>28.95</v>
      </c>
      <c r="K40">
        <v>76.47</v>
      </c>
      <c r="L40">
        <v>57.53</v>
      </c>
      <c r="M40" t="str">
        <f>VLOOKUP($A40,'[1]All donor summary'!$C$2:$D$700,2,0)</f>
        <v>TT</v>
      </c>
      <c r="N40" s="3">
        <f t="shared" si="0"/>
        <v>0</v>
      </c>
      <c r="O40" s="1"/>
      <c r="P40" s="1"/>
      <c r="Q40" s="1"/>
      <c r="R40" s="1"/>
    </row>
    <row r="41" spans="1:18" ht="18" x14ac:dyDescent="0.2">
      <c r="A41" t="s">
        <v>59</v>
      </c>
      <c r="B41" t="s">
        <v>18</v>
      </c>
      <c r="C41" t="s">
        <v>9</v>
      </c>
      <c r="D41" t="s">
        <v>15</v>
      </c>
      <c r="E41" t="s">
        <v>19</v>
      </c>
      <c r="F41" t="s">
        <v>12</v>
      </c>
      <c r="G41" t="s">
        <v>12</v>
      </c>
      <c r="H41">
        <v>24.781099999999999</v>
      </c>
      <c r="I41">
        <v>58.55</v>
      </c>
      <c r="J41">
        <v>33.61</v>
      </c>
      <c r="K41">
        <v>82.64</v>
      </c>
      <c r="L41">
        <v>66.2</v>
      </c>
      <c r="M41" t="str">
        <f>VLOOKUP($A41,'[1]All donor summary'!$C$2:$D$700,2,0)</f>
        <v>TC</v>
      </c>
      <c r="N41" s="3">
        <f t="shared" si="0"/>
        <v>0</v>
      </c>
      <c r="O41" s="1"/>
      <c r="P41" s="1"/>
      <c r="Q41" s="1"/>
      <c r="R41" s="1"/>
    </row>
    <row r="42" spans="1:18" ht="18" hidden="1" x14ac:dyDescent="0.2">
      <c r="A42" t="s">
        <v>60</v>
      </c>
      <c r="B42" t="s">
        <v>8</v>
      </c>
      <c r="C42" t="s">
        <v>8</v>
      </c>
      <c r="D42" t="s">
        <v>15</v>
      </c>
      <c r="E42" t="s">
        <v>19</v>
      </c>
      <c r="F42" t="s">
        <v>12</v>
      </c>
      <c r="G42" t="s">
        <v>12</v>
      </c>
      <c r="H42">
        <v>29.433800000000002</v>
      </c>
      <c r="I42">
        <v>70.25</v>
      </c>
      <c r="J42">
        <v>38.28</v>
      </c>
      <c r="K42">
        <v>86.25</v>
      </c>
      <c r="L42">
        <v>67.53</v>
      </c>
      <c r="M42" t="e">
        <f>VLOOKUP($A42,'[1]All donor summary'!$C$2:$D$700,2,0)</f>
        <v>#N/A</v>
      </c>
      <c r="N42" s="3">
        <f t="shared" si="0"/>
        <v>0</v>
      </c>
      <c r="O42" s="1"/>
      <c r="P42" s="1"/>
      <c r="Q42" s="1"/>
      <c r="R42" s="1"/>
    </row>
    <row r="43" spans="1:18" ht="18" x14ac:dyDescent="0.2">
      <c r="A43" t="s">
        <v>61</v>
      </c>
      <c r="B43" t="s">
        <v>8</v>
      </c>
      <c r="C43" t="s">
        <v>8</v>
      </c>
      <c r="D43" t="s">
        <v>19</v>
      </c>
      <c r="E43" t="s">
        <v>15</v>
      </c>
      <c r="F43" t="s">
        <v>12</v>
      </c>
      <c r="G43" t="s">
        <v>12</v>
      </c>
      <c r="H43">
        <v>29.433800000000002</v>
      </c>
      <c r="I43">
        <v>69.09</v>
      </c>
      <c r="J43">
        <v>35.97</v>
      </c>
      <c r="K43">
        <v>81.66</v>
      </c>
      <c r="L43">
        <v>68.849999999999994</v>
      </c>
      <c r="M43" t="str">
        <f>VLOOKUP($A43,'[1]All donor summary'!$C$2:$D$700,2,0)</f>
        <v>TT</v>
      </c>
      <c r="N43" s="3">
        <f t="shared" si="0"/>
        <v>0</v>
      </c>
      <c r="O43" s="1"/>
      <c r="P43" s="1"/>
      <c r="Q43" s="1"/>
      <c r="R43" s="1"/>
    </row>
    <row r="44" spans="1:18" ht="18" x14ac:dyDescent="0.2">
      <c r="A44" t="s">
        <v>62</v>
      </c>
      <c r="B44" t="s">
        <v>9</v>
      </c>
      <c r="C44" t="s">
        <v>18</v>
      </c>
      <c r="D44" t="s">
        <v>15</v>
      </c>
      <c r="E44" t="s">
        <v>21</v>
      </c>
      <c r="F44" t="s">
        <v>12</v>
      </c>
      <c r="G44" t="s">
        <v>12</v>
      </c>
      <c r="H44">
        <v>24.781099999999999</v>
      </c>
      <c r="I44">
        <v>57.42</v>
      </c>
      <c r="J44">
        <v>27.95</v>
      </c>
      <c r="K44">
        <v>78.56</v>
      </c>
      <c r="L44">
        <v>62.68</v>
      </c>
      <c r="M44" t="str">
        <f>VLOOKUP($A44,'[1]All donor summary'!$C$2:$D$700,2,0)</f>
        <v>TT</v>
      </c>
      <c r="N44" s="3">
        <f t="shared" si="0"/>
        <v>0</v>
      </c>
      <c r="O44" s="1"/>
      <c r="P44" s="1"/>
      <c r="Q44" s="1"/>
      <c r="R44" s="1"/>
    </row>
    <row r="45" spans="1:18" ht="18" x14ac:dyDescent="0.2">
      <c r="A45" t="s">
        <v>63</v>
      </c>
      <c r="B45" t="s">
        <v>18</v>
      </c>
      <c r="C45" t="s">
        <v>18</v>
      </c>
      <c r="D45" t="s">
        <v>15</v>
      </c>
      <c r="E45" t="s">
        <v>19</v>
      </c>
      <c r="F45" t="s">
        <v>12</v>
      </c>
      <c r="G45" t="s">
        <v>12</v>
      </c>
      <c r="H45">
        <v>26.020600000000002</v>
      </c>
      <c r="I45">
        <v>68.64</v>
      </c>
      <c r="J45">
        <v>25.45</v>
      </c>
      <c r="K45">
        <v>71.88</v>
      </c>
      <c r="L45">
        <v>67.56</v>
      </c>
      <c r="M45" t="str">
        <f>VLOOKUP($A45,'[1]All donor summary'!$C$2:$D$700,2,0)</f>
        <v>TT</v>
      </c>
      <c r="N45" s="3">
        <f t="shared" si="0"/>
        <v>0</v>
      </c>
      <c r="O45" s="1"/>
      <c r="P45" s="1"/>
      <c r="Q45" s="1"/>
      <c r="R45" s="1"/>
    </row>
    <row r="46" spans="1:18" ht="18" hidden="1" x14ac:dyDescent="0.2">
      <c r="A46" t="s">
        <v>64</v>
      </c>
      <c r="B46" t="s">
        <v>8</v>
      </c>
      <c r="C46" t="s">
        <v>9</v>
      </c>
      <c r="D46" t="s">
        <v>10</v>
      </c>
      <c r="E46" t="s">
        <v>10</v>
      </c>
      <c r="F46" t="s">
        <v>16</v>
      </c>
      <c r="G46" t="s">
        <v>16</v>
      </c>
      <c r="H46">
        <v>8.7868999999999993</v>
      </c>
      <c r="I46">
        <v>58.92</v>
      </c>
      <c r="J46">
        <v>24.24</v>
      </c>
      <c r="K46">
        <v>81.06</v>
      </c>
      <c r="L46">
        <v>55.23</v>
      </c>
      <c r="M46" t="e">
        <f>VLOOKUP($A46,'[1]All donor summary'!$C$2:$D$700,2,0)</f>
        <v>#N/A</v>
      </c>
      <c r="N46" s="3">
        <f t="shared" si="0"/>
        <v>2</v>
      </c>
      <c r="O46" s="1"/>
      <c r="P46" s="1"/>
      <c r="Q46" s="1"/>
      <c r="R46" s="1"/>
    </row>
    <row r="47" spans="1:18" ht="18" x14ac:dyDescent="0.2">
      <c r="A47" t="s">
        <v>65</v>
      </c>
      <c r="B47" t="s">
        <v>9</v>
      </c>
      <c r="C47" t="s">
        <v>18</v>
      </c>
      <c r="D47" t="s">
        <v>19</v>
      </c>
      <c r="E47" t="s">
        <v>15</v>
      </c>
      <c r="F47" t="s">
        <v>12</v>
      </c>
      <c r="G47" t="s">
        <v>12</v>
      </c>
      <c r="H47">
        <v>24.781099999999999</v>
      </c>
      <c r="I47">
        <v>76.010000000000005</v>
      </c>
      <c r="J47">
        <v>61.47</v>
      </c>
      <c r="K47">
        <v>81.760000000000005</v>
      </c>
      <c r="L47">
        <v>156.21</v>
      </c>
      <c r="M47" t="str">
        <f>VLOOKUP($A47,'[1]All donor summary'!$C$2:$D$700,2,0)</f>
        <v>CC</v>
      </c>
      <c r="N47" s="3">
        <f t="shared" si="0"/>
        <v>0</v>
      </c>
      <c r="O47" s="1"/>
      <c r="P47" s="1"/>
      <c r="Q47" s="1"/>
      <c r="R47" s="1"/>
    </row>
    <row r="48" spans="1:18" ht="18" x14ac:dyDescent="0.2">
      <c r="A48" t="s">
        <v>66</v>
      </c>
      <c r="B48" t="s">
        <v>8</v>
      </c>
      <c r="C48" t="s">
        <v>8</v>
      </c>
      <c r="D48" t="s">
        <v>21</v>
      </c>
      <c r="E48" t="s">
        <v>19</v>
      </c>
      <c r="F48" t="s">
        <v>12</v>
      </c>
      <c r="G48" t="s">
        <v>12</v>
      </c>
      <c r="H48">
        <v>29.433800000000002</v>
      </c>
      <c r="I48">
        <v>64.12</v>
      </c>
      <c r="J48">
        <v>36.54</v>
      </c>
      <c r="K48">
        <v>68.239999999999995</v>
      </c>
      <c r="L48">
        <v>86.46</v>
      </c>
      <c r="M48" t="str">
        <f>VLOOKUP($A48,'[1]All donor summary'!$C$2:$D$700,2,0)</f>
        <v>TC</v>
      </c>
      <c r="N48" s="3">
        <f t="shared" si="0"/>
        <v>0</v>
      </c>
      <c r="O48" s="1"/>
      <c r="P48" s="1"/>
      <c r="Q48" s="1"/>
      <c r="R48" s="1"/>
    </row>
  </sheetData>
  <autoFilter ref="A1:N48" xr:uid="{A770E228-D91A-104F-92D3-3A2DA78C4309}">
    <filterColumn colId="12">
      <filters>
        <filter val="CC"/>
        <filter val="TC"/>
        <filter val="TT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CA91-A047-9D42-9D3E-A00D047A7481}">
  <dimension ref="A1:D19"/>
  <sheetViews>
    <sheetView workbookViewId="0">
      <selection activeCell="D1" sqref="D1:D19"/>
    </sheetView>
  </sheetViews>
  <sheetFormatPr baseColWidth="10" defaultRowHeight="16" x14ac:dyDescent="0.2"/>
  <sheetData>
    <row r="1" spans="1:4" x14ac:dyDescent="0.2">
      <c r="A1" t="s">
        <v>74</v>
      </c>
      <c r="B1" t="s">
        <v>75</v>
      </c>
      <c r="C1" t="s">
        <v>76</v>
      </c>
      <c r="D1" t="s">
        <v>74</v>
      </c>
    </row>
    <row r="2" spans="1:4" x14ac:dyDescent="0.2">
      <c r="A2" t="s">
        <v>74</v>
      </c>
      <c r="B2" t="s">
        <v>76</v>
      </c>
      <c r="C2" t="s">
        <v>76</v>
      </c>
      <c r="D2" t="s">
        <v>74</v>
      </c>
    </row>
    <row r="3" spans="1:4" x14ac:dyDescent="0.2">
      <c r="A3" t="s">
        <v>74</v>
      </c>
      <c r="B3" t="s">
        <v>76</v>
      </c>
      <c r="C3" t="s">
        <v>76</v>
      </c>
      <c r="D3" t="s">
        <v>74</v>
      </c>
    </row>
    <row r="4" spans="1:4" x14ac:dyDescent="0.2">
      <c r="A4" t="s">
        <v>74</v>
      </c>
      <c r="B4" t="s">
        <v>76</v>
      </c>
      <c r="C4" t="s">
        <v>75</v>
      </c>
      <c r="D4" t="s">
        <v>74</v>
      </c>
    </row>
    <row r="5" spans="1:4" x14ac:dyDescent="0.2">
      <c r="A5" t="s">
        <v>74</v>
      </c>
      <c r="B5" t="s">
        <v>76</v>
      </c>
      <c r="C5" t="s">
        <v>76</v>
      </c>
      <c r="D5" t="s">
        <v>74</v>
      </c>
    </row>
    <row r="6" spans="1:4" x14ac:dyDescent="0.2">
      <c r="A6" t="s">
        <v>74</v>
      </c>
      <c r="B6" t="s">
        <v>75</v>
      </c>
      <c r="C6" t="s">
        <v>75</v>
      </c>
      <c r="D6" t="s">
        <v>74</v>
      </c>
    </row>
    <row r="7" spans="1:4" x14ac:dyDescent="0.2">
      <c r="A7" t="s">
        <v>74</v>
      </c>
      <c r="B7" t="s">
        <v>75</v>
      </c>
      <c r="C7" t="s">
        <v>76</v>
      </c>
      <c r="D7" t="s">
        <v>74</v>
      </c>
    </row>
    <row r="8" spans="1:4" x14ac:dyDescent="0.2">
      <c r="B8" t="s">
        <v>76</v>
      </c>
      <c r="C8" t="s">
        <v>76</v>
      </c>
      <c r="D8" t="s">
        <v>74</v>
      </c>
    </row>
    <row r="9" spans="1:4" x14ac:dyDescent="0.2">
      <c r="C9" t="s">
        <v>75</v>
      </c>
      <c r="D9" t="s">
        <v>74</v>
      </c>
    </row>
    <row r="10" spans="1:4" x14ac:dyDescent="0.2">
      <c r="C10" t="s">
        <v>76</v>
      </c>
      <c r="D10" t="s">
        <v>74</v>
      </c>
    </row>
    <row r="11" spans="1:4" x14ac:dyDescent="0.2">
      <c r="D11" t="s">
        <v>74</v>
      </c>
    </row>
    <row r="12" spans="1:4" x14ac:dyDescent="0.2">
      <c r="D12" t="s">
        <v>74</v>
      </c>
    </row>
    <row r="13" spans="1:4" x14ac:dyDescent="0.2">
      <c r="D13" t="s">
        <v>74</v>
      </c>
    </row>
    <row r="14" spans="1:4" x14ac:dyDescent="0.2">
      <c r="D14" t="s">
        <v>74</v>
      </c>
    </row>
    <row r="15" spans="1:4" x14ac:dyDescent="0.2">
      <c r="D15" t="s">
        <v>74</v>
      </c>
    </row>
    <row r="16" spans="1:4" x14ac:dyDescent="0.2">
      <c r="D16" t="s">
        <v>74</v>
      </c>
    </row>
    <row r="17" spans="4:4" x14ac:dyDescent="0.2">
      <c r="D17" t="s">
        <v>74</v>
      </c>
    </row>
    <row r="18" spans="4:4" x14ac:dyDescent="0.2">
      <c r="D18" t="s">
        <v>74</v>
      </c>
    </row>
    <row r="19" spans="4:4" x14ac:dyDescent="0.2">
      <c r="D19" t="s">
        <v>74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2024-10-04 PBMCs 48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Lin, Zhansong (NIH/NCI) [C]</cp:lastModifiedBy>
  <dcterms:created xsi:type="dcterms:W3CDTF">2026-01-11T23:25:30Z</dcterms:created>
  <dcterms:modified xsi:type="dcterms:W3CDTF">2026-04-09T17:04:43Z</dcterms:modified>
</cp:coreProperties>
</file>